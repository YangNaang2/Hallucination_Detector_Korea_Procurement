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검수목록" sheetId="1" state="visible" r:id="rId2"/>
    <sheet name="구절판정" sheetId="2" state="visible" r:id="rId3"/>
    <sheet name="근거" sheetId="3" state="visible" r:id="rId4"/>
    <sheet name="답변전문" sheetId="4" state="visible" r:id="rId5"/>
    <sheet name="기준" sheetId="5" state="visible" r:id="rId6"/>
    <sheet name="문항해설" sheetId="6" state="visible" r:id="rId7"/>
    <sheet name="Sheet7" sheetId="7"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<sst xmlns="http://schemas.openxmlformats.org/spreadsheetml/2006/main" count="355" uniqueCount="218">
  <si>
    <t xml:space="preserve">ASTRA 답변 6개 검수</t>
  </si>
  <si>
    <t xml:space="preserve">T04 · 사람 승인 pending · 노란 칸에 의견 입력</t>
  </si>
  <si>
    <t xml:space="preserve">문항 ID</t>
  </si>
  <si>
    <t xml:space="preserve">회사</t>
  </si>
  <si>
    <t xml:space="preserve">질문</t>
  </si>
  <si>
    <t xml:space="preserve">초안 구절 수</t>
  </si>
  <si>
    <t xml:space="preserve">품질·추가 확인</t>
  </si>
  <si>
    <t xml:space="preserve">사람 판정</t>
  </si>
  <si>
    <t xml:space="preserve">검수자</t>
  </si>
  <si>
    <t xml:space="preserve">검수 의견</t>
  </si>
  <si>
    <t xml:space="preserve">C01-N02-E5</t>
  </si>
  <si>
    <t xml:space="preserve">C01</t>
  </si>
  <si>
    <t xml:space="preserve">개발자가 개인 노트북으로 작업하는 방안을 그대로 허용할 수 있는가?</t>
  </si>
  <si>
    <t xml:space="preserve">후반의 일반적인 허용 불가 문장은 앞서 설명한 예외를 지우는 의미인지 검토</t>
  </si>
  <si>
    <t xml:space="preserve">동의</t>
  </si>
  <si>
    <t xml:space="preserve">강인수</t>
  </si>
  <si>
    <t xml:space="preserve">[결론 확인] 검수시트 근거 ID: C01-N02-E5-E1 로 지지됨. 환각 없음
 &lt;원문내용&gt; 
사업 참여인원의 비인가 휴대용 저장매체(USB, CD/DVD, 스마트폰, 태블릿 PC, MP3 등)가 사업장내 정보시스템에 연결되는 것을 기술적으로 차단하고,
사업 참여인원의 노트북 사용을 금지한다.  
※ 불가피하게 노트북을 사용하여야하는 경우에는 고정장치를 사용하여야 하며,     고정장치 비밀번호는 발주기관이 관리하고 발주기관의 승인 하에 반·출입하여야 한다
[품질 메모 확인] 지적된 문장은 유보사항 두 번째 줄 "이에 따라 개인 노트북 사용이 허용되지 않으므로"임. 바로 앞 줄에서 예외 절차를 그대로 유지한 뒤 질문의 "그대로 허용" 범위에 한정해 결론을 반복한 것으로 읽히므로, 예외를 삭제하는 의미가 아님. 구절 추가 제안 없음. </t>
  </si>
  <si>
    <t xml:space="preserve">C01-N43-E4</t>
  </si>
  <si>
    <t xml:space="preserve">하도급 허용을 근거로 재하도급도 자유롭게 허용할 수 있는가?</t>
  </si>
  <si>
    <t xml:space="preserve">출력 잘림
조항 번호의 정확한 대응도 사람 검수 필요</t>
  </si>
  <si>
    <t xml:space="preserve">수정 제안</t>
  </si>
  <si>
    <t xml:space="preserve">[결론 확인] 답변의 결론 "재하도급은 허용되지 않음"은 근거 C01-N43-E4-E2의 "재하도급은 원칙적으로 불가"와 일치함. 문제는 유보사항에서 하도급 조항(5·6·7항)을 재하도급에 확장한 구절 9건이며, 근거 전문에서 재하도급 언급은 1회뿐이므로 해당 확장은 입력이 지지하지 않음(UNSUPPORTED). S01만 원칙 금지를 조건부 허용으로 뒤집어 CONTRADICTION으로 수정 제안.  
[품질 메모 확인] '출력 잘림' 검토 결과: 답변이 "- [2] 제2항"에서 문장 미완으로 종료됨(총 1,114자). 잘린 조각에 주장이 없어 참/거짓 판정 대상이 아니므로 구절로 표시하지 않고 품질 문제로만 기록함. 결론·근거 대조는 잘림 이전 구간에서 완결되어 판정에 영향 없음. '조항 번호의 정확한 대응' 검토 결과: 모든 인용에 "제2항" 접두가 붙어 있으나 실제 인용처는 2·5·6·7항에 분포함. 답변표기→실제원문: '제2항 2가'→2항 나), '제2항 2나'→5항 나), '제2항 6가'→6항 가), '제2항 6라'→6항 라), '제2항 7가'→7항 본문, '제2항 7나'→7항 나), '제2항 5가'→5항 가), '제2항 5나'→5항 나), '제2항 5라'→5항 라).  추가 구절: 제2항 2가 위치 구분: 유보사항 첫 번째 불릿, "재하도급은 원칙적으로 불가" 인용 앞 분류: CITATION_ERROR 근거: C01-N43-E4-E2 — 해당 문장은 2항 나)에 있음 이유: 목 번호를 가)로 잘못 지정함.  추가 구절: 제2항 2나 위치 구분: 유보사항 세 번째 불릿, "하도급 제한 범위를 초과하여" 인용 앞 분류: CITATION_ERROR 근거: C01-N43-E4-E2 — 해당 문장은 5항 나) 이유: 항 번호가 틀렸고, 같은 문장을 뒤에서 "제2항 5나"로 다시 인용해 자기모순.  추가 구절: 제2항 7가 위치 구분: "하도급 계약의 준수여부 확인을 위하여" 인용 앞 분류: CITATION_ERROR 근거: C01-N43-E4-E2 — 인용문은 7항 본문이며 7항 가)는 '준수 확인서(서식15)' 이유: 본문을 목으로 잘못 지정함.  [추가 검토] 추가 오류 제안 3건(CITATION_ERROR). "제2항" 접두 일괄 오류를 9건 모두 개별 구절로 표시할지 일괄 처리할지는 팀장 판단 요청. 구절판정 9행 중 S01 수정, 나머지 8건 동의.
[결론 확인] 답변의 결론은 ‘검수시트 근거 ID: C01-N43-E4-E2’와 모순된다. 원문에는 재하도급이 1회 언급되는데 답변의 주장은 하도급과 재하도급을 연결, 확장해서 모델이 스스로 만들어냈다. 
[품질 메모 확인] '출력 잘림' 검토결과, '- [2] 제2항'에서 답변 끝남. 그러나 참/거짓 여부와 판정 불가 여부가 적용되지 않는 구간이므로 단순 삭제 필요함. 
'조항 번호의 정확한 대응' 검토결과, 제2항 접두가 9건 전부 틀렸다. '답변표기'-&gt;'실제원문'으로 검토하였다. '제2항 2가'-&gt;'2항 나)', '제2항 2나',-&gt;'5항 나)', '제2항 6가',-&gt;'6항 가)', '제2항 6라',-&gt;'6항 라)', '제2항 7가',-&gt;'7항 본문', '제2항 7나',-&gt;'7항 나)', '제2항 5가',-&gt;'5항 가)', '제2항 5나',-&gt;'5항 나)', '제2항 5라',-&gt;'5항 라)'
[추가 검토] 9개 구절 판정</t>
  </si>
  <si>
    <t xml:space="preserve">C03-S02</t>
  </si>
  <si>
    <t xml:space="preserve">C03</t>
  </si>
  <si>
    <t xml:space="preserve">인우의 개발·시험 라이선스와 보안도구 가정을 더한 비용에서 목표 마진과 VAT를 순서대로 적용하라.</t>
  </si>
  <si>
    <t xml:space="preserve">요청한 원가·목표 순액·VAT 포함 총액 누락</t>
  </si>
  <si>
    <t xml:space="preserve">[결론 확인] 답변이 제시한 산식 "target_net = cost/(1-margin/100)", "target_gross = unrounded target_net*1.1"은 근거 C03-S02-E1의 산식 행과 일치하며 마진·VAT 적용 순서도 동일함. 유보사항의 "합성 시나리오 기반이며 실제 증빙·실제 투찰가가 아님"도 근거 문서의 "실제 발급 증명서가 아니다"와 일치함. 산식이 근거와 같으므로 산식 문장은 환각으로 표시하지 않음. [품질 메모 확인] E열 지적 사항 "요청한 원가·목표 순액·VAT 포함 총액 누락" 검토 결과 사실로 확인됨. 근거 C03-S02-E1에 assumed_cost_net 92,803,048원, target_net 111,810,902원, target_gross 122,991,992원이 명시돼 있고 근거의 산식으로 재계산해도 동일한 값이 나오지만 답변은 금액을 하나도 출력하지 않음. 환각 구절은 아니지만 계산 결과 숫자 누락으로만 기록함. [추가 검토] 답변 전문 검토 결과 근거와 모순되거나 근거 없이 만들어낸 주장은 없음. 구절 추가 제안 없음.</t>
  </si>
  <si>
    <t xml:space="preserve">C04-S01</t>
  </si>
  <si>
    <t xml:space="preserve">C04</t>
  </si>
  <si>
    <t xml:space="preserve">누리의 가상 공급권한과 CSAP를 어떤 보유 주체·버전으로 조회해야 하는가?</t>
  </si>
  <si>
    <t xml:space="preserve">[결론확인] 검수시트 근거 ID: C04-S01-E1 로 근거를 확인하였다. 보유 주체 유형은 service로 명시되며"라고 정확히 인용해 놓고, 같은 문장 안에서 "C04 보유 주체가 기준이다"로 답변 내에서 모순이 일어났다. 회사가 보유한 것(정보통신공사업)과 서비스가 보유한 것(CSAP)가 섞였다. [추가검토] 2개의 구절 확인</t>
  </si>
  <si>
    <t xml:space="preserve">C05-P03</t>
  </si>
  <si>
    <t xml:space="preserve">C05</t>
  </si>
  <si>
    <t xml:space="preserve">PMS 완료 대장을 생성하면 두 번째 실적 증빙도 확보되는가?</t>
  </si>
  <si>
    <t xml:space="preserve">[결론 확인] 답변의 결론 "두 번째 실적 증빙은 확보되지 않는다"는 근거 C05-P03-E1의 C05-PRJ-02 "증빙 확보 상태: missing — 증빙 미확보" 및 문서 상단의 "문서 생성은 증빙 확보와 다르다. missing은 그대로 미확보 상태다"로 지지됨. 완료 상태(completed, 완료일 2024-12-31)와 증빙 상태를 분리한 판단도 근거와 일치함.  [품질 메모 확인] E열 지적 사항 없음. 초안 구절 S01은 근거가 "상태 기준일"로 기재한 2026-04-01을 답변이 "공고 기준일"로 단정한 지점을 정확히 표시했으며 분류 UNSUPPORTED와 구절 범위 모두 적절하여 동의함.  [추가 검토] 답변 전문 검토 결과 추가 오류 없음. 구절 추가 제안 없음.</t>
  </si>
  <si>
    <t xml:space="preserve">C05-S02</t>
  </si>
  <si>
    <t xml:space="preserve">새온의 PC·모니터·Office·게이트웨이·부대 장비 합성 명세를 합산하고 마진·VAT 적용 금액을 구하라.</t>
  </si>
  <si>
    <t xml:space="preserve">PC·모니터·기타 장비·인건비 범위 누락; 소계 15,200,000 자체를 거짓 숫자로 라벨링하지 않음</t>
  </si>
  <si>
    <t xml:space="preserve">[결론 확인] 답변이 합산한 소계 15,200,000원(Office 800,000 + 게이트웨이 14,400,000)의 산술 자체는 근거의 prices 항목과 일치함. 그러나 이를 전체 범위 원가로 대체하고, 근거 C05-S02-E4가 매출대비 마진(19 percent_of_revenue, 산식 cost/(1-margin/100))으로 정의한 것을 원가 가산율로 적용했으며, VAT도 마진 적용 전 금액에 걸어 근거 C05-S02-E1의 target_gross 산식과 어긋남. 근거 기준 올바른 값은 원가 129,983,669원, 목표 순액 160,473,666원, 총액 176,521,032원이며 답변의 19,608,000원과 큰 차이가 있음.  [품질 메모 확인] E열 지적 사항 "PC·모니터·기타 장비·인건비 범위 누락; 소계 15,200,000 자체를 거짓 숫자로 라벨링하지 않음" 검토 결과: 둘 다 타당함. 질문이 요구한 PC·모니터·부대 장비와 인건비가 합산에서 빠졌으나 답변에 없는 내용이므로 구절로 표시하지 않고 범위 누락으로만 기록함. 소계 산술은 근거와 일치하므로 구절에 포함하지 않았고, 초안 4건도 이를 지켜 적용 오류 구간만 표시함.  [추가 검토] 답변 전문 검토 결과 초안 4건 외 추가 오류 없음. 구절 추가 제안 없음.</t>
  </si>
  <si>
    <t xml:space="preserve">오류 구절과 보류 후보</t>
  </si>
  <si>
    <t xml:space="preserve">위치: 원시 답변의 Unicode [start,end)</t>
  </si>
  <si>
    <t xml:space="preserve">구절 ID</t>
  </si>
  <si>
    <t xml:space="preserve">실제 구절</t>
  </si>
  <si>
    <t xml:space="preserve">초안 분류</t>
  </si>
  <si>
    <t xml:space="preserve">판단 이유</t>
  </si>
  <si>
    <t xml:space="preserve">근거 ID</t>
  </si>
  <si>
    <t xml:space="preserve">시작</t>
  </si>
  <si>
    <t xml:space="preserve">끝</t>
  </si>
  <si>
    <t xml:space="preserve">수정 구절·위치</t>
  </si>
  <si>
    <t xml:space="preserve">C01-N43-E4-S01</t>
  </si>
  <si>
    <t xml:space="preserve">하도급 제한 범위 내에서만 허용됨.</t>
  </si>
  <si>
    <t xml:space="preserve">UNSUPPORTED</t>
  </si>
  <si>
    <t xml:space="preserve">하도급 한도 내이면 재하도급이 허용된다는 연결은 제시되지 않았다.</t>
  </si>
  <si>
    <t xml:space="preserve">C01-N43-E4-E2</t>
  </si>
  <si>
    <t xml:space="preserve">수정</t>
  </si>
  <si>
    <t xml:space="preserve">구절 범위 유지, 분류만 변경 (UNSUPPORTED → CONTRADICTION). 근거 C01-N43-E4-E2는 "재하도급은 원칙적으로 불가"로 원칙 금지를 규정하는데, 이 구절은 제한 범위 내라면 허용된다는 조건부 허용으로 읽혀 근거와 정반대임. 근거에 없는 추가 주장이 아니라 근거에 반하는 주장이므로 CONTRADICTION이 적절.</t>
  </si>
  <si>
    <t xml:space="preserve">C01-N43-E4-S02</t>
  </si>
  <si>
    <t xml:space="preserve">이 절차가 거치지 않은 경우 재하도급은 불법임.</t>
  </si>
  <si>
    <t xml:space="preserve">제공된 조항만으로 위법성을 확정하는 문장이 아니다.</t>
  </si>
  <si>
    <t xml:space="preserve">「소프트웨어산업 진흥법」및「소프트웨어사업의 하도급 승인 및 관리 지침」를 언급한 L1 문서의 원문은 다음과 같다.
 1.「소프트웨어산업 진흥법」및「소프트웨어사업의 하도급 승인 및 관리 지침」의 하도급 관련사항을 준수해야 한다.   2. 하도급 제한사항은 아래와 같다.  가) 하도급 비율은 사업금액의 100분의 50을 초과할 수 없음  나) 하도급 신청은 입찰 시 및 계약체결 시에 하도급 계획서를 제출해야 하며, 재하도급은 원칙적으로 불가 
그러므로 답변에서 말하는 절차는 재하도급의 불법 여부를 말하고있지 않다. </t>
  </si>
  <si>
    <t xml:space="preserve">C01-N43-E4-S03</t>
  </si>
  <si>
    <t xml:space="preserve">이는 재하도급의 경우에도 동일한 계약서를 사용해야 함.</t>
  </si>
  <si>
    <t xml:space="preserve">하도급 계약서 요구를 재하도급에 그대로 확장했다.</t>
  </si>
  <si>
    <t xml:space="preserve">&lt;답변&gt; - [2] 제2항 6가에서는 "하도급 업체와 계약을 체결할 경우, ‘소프트웨어사업 표준하도급계약서’(서식13, 서식14) 사용"하고, 이는 재하도급의 경우에도 동일한 계약서를 사용해야 함.
근거 C01-N43-E4-E2  원문에는 재하도급에 대한 확장이 없다.   </t>
  </si>
  <si>
    <t xml:space="preserve">C01-N43-E4-S04</t>
  </si>
  <si>
    <t xml:space="preserve">이는 재하도급의 경우에도 적용됨.</t>
  </si>
  <si>
    <t xml:space="preserve">하도급 규정과 재하도급의 적용 관계를 추가로 만들었다.</t>
  </si>
  <si>
    <t xml:space="preserve">&lt;답변&gt; - [2] 제2항 6라에서는 "본 사업에서 전체 사업금액 대비 10%를 초과하여 하도급하려는 경우, 하수급인과 공동수급체를 구성하여 참여해야 한다."고 명시하며, 이는 재하도급의 경우에도 적용됨.
&lt;문서 원문&gt; 라) 본 사업에서 전체 사업금액 대비 10%를 초과하여 하도급하려는 경우, 하수급인과 공동수급체를 구성하여 참여해야 한다. </t>
  </si>
  <si>
    <t xml:space="preserve">C01-N43-E4-S05</t>
  </si>
  <si>
    <t xml:space="preserve">재하도급의 경우에도 이 서류 제출이 필요함.</t>
  </si>
  <si>
    <t xml:space="preserve">하도급 제출 의무를 재하도급에도 자동 적용했다.</t>
  </si>
  <si>
    <t xml:space="preserve">&lt;답변&gt; - [2] 제2항 7가에서는 "하도급 계약의 준수여부 확인을 위하여 아래 서류를 제출해야 한다."고 명시하며, 재하도급의 경우에도 이 서류 제출이 필요함.  
하도급 제출 의무를 근거 없이 재하도급에 확장함. 근거 C01-N43-E4-E2 기준 UNSUPPORTED 적절.
</t>
  </si>
  <si>
    <t xml:space="preserve">C01-N43-E4-S06</t>
  </si>
  <si>
    <t xml:space="preserve">재하도급의 경우에도 이 제출이 필요함.</t>
  </si>
  <si>
    <t xml:space="preserve">&lt;답변&gt; - [2] 제2항 7나에서는 "‘소프트웨어사업 하도급계약 준수실태 보고서’와 통장거래내역 사본을 종합보고서에 첨부하여 제출(월 1회 이상)"고 명시하며, 재하도급의 경우에도 이 제출이 필요함.  
하도급 제출 의무를 근거 없이 재하도급에 확장함. 근거 C01-N43-E4-E2 기준 UNSUPPORTED 적절.</t>
  </si>
  <si>
    <t xml:space="preserve">C01-N43-E4-S07</t>
  </si>
  <si>
    <t xml:space="preserve">&lt;답변&gt; - [2] 제2항 5가에서는 "하도급 계약의 적정성 판단 후, 85점 이상인 경우에 하도급 계약을 승인한다."고 명시하며, 이는 재하도급의 경우에도 적용됨.  
하도급 계약을 승인에 대한 원문을 근거 없이 재하도급의 경우를 만들어냄.</t>
  </si>
  <si>
    <t xml:space="preserve">C01-N43-E4-S08</t>
  </si>
  <si>
    <t xml:space="preserve">&lt;답변&gt; - [2] 제2항 5나에서는 "계약업체가 하도급 제한 범위를 초과하여 하도급 승인을 신청한 경우, 발주사는 접수를 반려하거나 서류 보완을 요청할 수 있다."고 명시하며, 이는 재하도급의 경우에도 적용됨.  
하도급 계약을 승인에 대한 원문을 근거 없이 재하도급의 경우를 만들어냄.</t>
  </si>
  <si>
    <t xml:space="preserve">C01-N43-E4-S09</t>
  </si>
  <si>
    <t xml:space="preserve">&lt;답변&gt; - [2] 제2항 5라에서는 "계약업체는 발주사에서 승인한 경우에 한하여 거절된 승인요청을 거절통지를 받은 날로부터 7일 이내에 관련서류를 변경‧보완하여 다시 신청할 수 있다."고 명시하며, 이는 재하도급의 경우에도 적용됨.  
  하도급 계약을 승인에 대한 원문을 근거 없이 재하도급의 경우를 만들어냄.</t>
  </si>
  <si>
    <t xml:space="preserve">C04-S01-S01</t>
  </si>
  <si>
    <t xml:space="preserve">**C04** 보유 주체</t>
  </si>
  <si>
    <t xml:space="preserve">CONTRADICTION</t>
  </si>
  <si>
    <t xml:space="preserve">해당 가정의 주체는 서비스 C04-SERVICE-01이다.</t>
  </si>
  <si>
    <t xml:space="preserve">C04-S01-E1</t>
  </si>
  <si>
    <t xml:space="preserve">근거 C04-S01-E1의 subject는 C04-SERVICE-01이고 보유 주체 유형은 "service"로 명시됨. 회사 C04를 보유 주체로 답한 것은 근거에 반하므로 CONTRADICTION 적절. 근거의 note "해당 가상 서비스의 인증과 공급계약을 가정. 회사 ISO 인증으로 대체하거나 실제 공급자 인증을 차용하지 않음"과도 정면 충돌함. 구절 범위도 틀린 지점만 정확히 포함함.</t>
  </si>
  <si>
    <t xml:space="preserve">C04-S01-S02</t>
  </si>
  <si>
    <t xml:space="preserve">C04 보유 주체</t>
  </si>
  <si>
    <t xml:space="preserve">회사와 서비스의 보유 주체를 혼동했다.</t>
  </si>
  <si>
    <t xml:space="preserve">같은 문장에서 "보유 주체 유형은 service로 명시되며"라고 정확히 인용한 뒤 "C04 보유 주체가 기준"이라고 결론내어 자기모순. 근거 C04-S01-E1 기준 CONTRADICTION 적절. 회사 보유 항목인 근거 [3] 정보통신공사업 등록 (업종·인증 코드 0036, 보유 주체 ID C04)과 서비스 보유 인증 CSAP를 혼동한 것으로 보임.</t>
  </si>
  <si>
    <t xml:space="preserve">C05-P03-S01</t>
  </si>
  <si>
    <t xml:space="preserve">공고 기준일(2026-04-01)</t>
  </si>
  <si>
    <t xml:space="preserve">입력 회사 대장의 상태 기준일이지 공고일로 확인된 값이 아니다.</t>
  </si>
  <si>
    <t xml:space="preserve">C05-P03-E1, C05-P03-E2</t>
  </si>
  <si>
    <t xml:space="preserve">근거 C05-P03-E1·C05-P03-E2의 문서 헤더에 이 날짜는 "상태 기준일 2026-04-01"로 기재되어 있고, 두 근거 어디에도 공고일·공고 기준일이라는 표현이 없음. 입력이 정하지 않은 날짜의 역할을 추가로 단정한 것이므로 UNSUPPORTED 적절. 구절 범위도 날짜 표기 부분만 정확히 포함함.</t>
  </si>
  <si>
    <t xml:space="preserve">C05-S02-S01</t>
  </si>
  <si>
    <t xml:space="preserve">15,200,000 KRW × 19% = 2,888,000 KRW</t>
  </si>
  <si>
    <t xml:space="preserve">산술의 곱셈 자체가 아니라 매출대비 마진을 원가 가산율로 적용한 의미 오류다.</t>
  </si>
  <si>
    <t xml:space="preserve">C05-S02-E1, C05-S02-E4</t>
  </si>
  <si>
    <t xml:space="preserve">곱셈 결과 자체는 맞으나, 근거 C05-S02-E4는 마진을 "목표 매출대비 마진 19 percent_of_revenue"로 정의하고 산식을 proposed_net = cost/(1-target_gross_margin/100)로 명시함. 원가에 19%를 가산하는 방식은 근거가 정한 적용 방법에 반하므로 CONTRADICTION 적절. 산술이 아닌 적용 의미의 오류임.</t>
  </si>
  <si>
    <t xml:space="preserve">C05-S02-S02</t>
  </si>
  <si>
    <t xml:space="preserve">VAT 적용 금액: 15,200,000 KRW × 10% = 1,520,000 KRW</t>
  </si>
  <si>
    <t xml:space="preserve">VAT는 마진 적용 후 세전 목표액에 적용해야 한다.</t>
  </si>
  <si>
    <t xml:space="preserve">근거 C05-S02-E1의 산식은 target_gross = unrounded target_net * 1.1로, VAT는 마진 적용 후 세전 목표액에 적용해야 함. 마진 적용 전 금액에 10%를 적용한 것은 근거가 정한 적용 순서에 반하므로 CONTRADICTION 적절.</t>
  </si>
  <si>
    <t xml:space="preserve">C05-S02-S03</t>
  </si>
  <si>
    <t xml:space="preserve">목표 매출대비 마진 적용: 15,200,000 KRW + 2,888,000 KRW = 18,088,000 KRW</t>
  </si>
  <si>
    <t xml:space="preserve">전체 범위 원가와 cost/(1-margin/100)를 사용해야 한다.</t>
  </si>
  <si>
    <t xml:space="preserve">근거 C05-S02-E1의 assumed_cost_net은 129,983,669원이며, 답변이 사용한 15,200,000원은 제공된 두 품목(Office 800,000, 게이트웨이 14,400,000)의 소계에 불과함. 전체 범위 원가를 소계로 대체하고 cost/(1-margin/100) 대신 가산 방식을 적용했으므로 CONTRADICTION 적절. 다만 소계 산술 자체는 근거 prices 항목과 일치하므로 오류로 보지 않음.</t>
  </si>
  <si>
    <t xml:space="preserve">C05-S02-S04</t>
  </si>
  <si>
    <t xml:space="preserve">VAT 적용: 18,088,000 KRW + 1,520,000 KRW = 19,608,000 KRW</t>
  </si>
  <si>
    <t xml:space="preserve">올바른 범위 원가·마진·VAT 적용의 총액은 176,521,032원이다.</t>
  </si>
  <si>
    <t xml:space="preserve">근거 C05-S02-E1 기준 올바른 총액은 target_gross 176,521,032원임. 잘못된 원가 범위(15,200,000)와 마진·VAT 적용 방식이 누적된 최종 결과이므로 CONTRADICTION 적절.</t>
  </si>
  <si>
    <t xml:space="preserve">원문 근거 발췌</t>
  </si>
  <si>
    <t xml:space="preserve">추가 검수 전용 근거는 모델이 보지 않음</t>
  </si>
  <si>
    <t xml:space="preserve">근거 범위</t>
  </si>
  <si>
    <t xml:space="preserve">정확한 인용</t>
  </si>
  <si>
    <t xml:space="preserve">원문 파일</t>
  </si>
  <si>
    <t xml:space="preserve">문서 ID</t>
  </si>
  <si>
    <t xml:space="preserve">버전</t>
  </si>
  <si>
    <t xml:space="preserve">등급</t>
  </si>
  <si>
    <t xml:space="preserve">C01-N02-E5-E1</t>
  </si>
  <si>
    <t xml:space="preserve">생성 시 입력</t>
  </si>
  <si>
    <t xml:space="preserve">를, 반출 시에는 자료무단 반출여부를 확인하고 정보시스템 반·출입 대장에 기록함  
  ※ 사업 종료 시 PC, 보조기억매체 등 저장장치는 완전 삭제 후 반출 
․사업 참여인원의 노트북 사용을 금지한다.  
  ※ 불가피하게 노트북을 사용하여야하는 경우에는 고정장치를 사용하여야 하며,     고정장치 비밀번호는 발주기관이 관리하고 발주기관의 승인 하에 반·출입하 
     여야 한다 
산출정보 
관련 요구사항 
요구사항 분류 
보안 요구사항 
요구사항 고유번호 
SER-7 
요구사항 명칭 
개인정보보호 정책 및 지침 준수 
요구 
사항 
상세 
설명 
정의 
개인정보보호 정책 및 지침 준수 
세부 
내용 
․사업 참여인원은『개인정보보호법』을 준수해</t>
  </si>
  <si>
    <t xml:space="preserve">export\2026-04\R26BK01442409-000\원본\26-HS025 00. 제안요청서.hwp</t>
  </si>
  <si>
    <t xml:space="preserve">L1-R26BK01442409-000-00f88c71be789210</t>
  </si>
  <si>
    <t xml:space="preserve">00f88c71be78921086ee92475de0aeaec1a75a9419f9b67ea65e628cd1cff192</t>
  </si>
  <si>
    <t xml:space="preserve">L1</t>
  </si>
  <si>
    <t xml:space="preserve">하도급 제한사항은 아래와 같다. 
가) 하도급 비율은 사업금액의 100분의 50을 초과할 수 없음 
나) 하도급 신청은 입찰 시 및 계약체결 시에 하도급 계획서를 제출해야 하며, 재하도급은 원칙적으로 불가 
 3. 제안업체는 하도급계약이 필요하다면 본 사업의 입찰 시 아래 서류를 제출해야 한다. 
가) ‘소프트웨어사업 하도급 계획서(입찰 시)’(서식11) 제출 
나) ‘하도급 대금지급 비율 명세서’(서식9) 제출 
 4. 계약업체는 하도급 계약 전에 본 사업의 계약 시 아래 서류를 발주사에 서면으로 제출하고 하도급 사전승인을 신청해야 한다.(계약체결일로부터 14일 이내) 
가) ‘소프트웨어사업 하도급 계약승인신청서’(서식10) 제출 
나) ‘소프트웨어사업 하도급</t>
  </si>
  <si>
    <t xml:space="preserve">export\2026-04\R26BK01435344-000\원본\제안요청서.hwp</t>
  </si>
  <si>
    <t xml:space="preserve">L1-R26BK01435344-000-94a77a60a98228c8</t>
  </si>
  <si>
    <t xml:space="preserve">94a77a60a98228c83e7422cea2e22b2a99ee537b6a441ab8479d7582e4aef087</t>
  </si>
  <si>
    <t xml:space="preserve">C03-S02-E1</t>
  </si>
  <si>
    <t xml:space="preserve">| calculation / margin_percent | 17 |
| calculation / assumed_cost_net | 92803048 |
| calculation / target_net | 111810902 |
| calculation / target_gross | 122991992 |
| calculation / 산식 | direct = prior rounded scoped direct + synthetic external + (public agreement gross / 1.1 if supplied); cost = direct*(1+overhead/100+contingency/100); target_net = cost/(1-margin/1</t>
  </si>
  <si>
    <t xml:space="preserve">project-docs/평가데이터/v2/retrieval/C03/L3/C03-QA300-COST-2.0.0.json</t>
  </si>
  <si>
    <t xml:space="preserve">C03-QA300-COST-2.0.0</t>
  </si>
  <si>
    <t xml:space="preserve">2.0.0</t>
  </si>
  <si>
    <t xml:space="preserve">L3</t>
  </si>
  <si>
    <t xml:space="preserve">ate_change / 적용 시작일 | 2026-05-20 |
| state_change / effective_until | 2027-05-19 |
| state_change / 보유 주체 유형 | service |
| state_change / provider | 가상 하늘인프라 제공자 |
| state_change / supply_agreement_state | synthetic_record — 합성 레코드 존재, 실제 발급문서 아님 |
| state_change / note | 해당 가상 서비스의 인증과 공급계약을 가정. 회사 ISO 인증으로 대체하거나 실제 공급자 인증을 차용하지 않음. |</t>
  </si>
  <si>
    <t xml:space="preserve">project-docs/평가데이터/v2/retrieval/C04/L2/C04-QA300-STATE-2.0.0.json</t>
  </si>
  <si>
    <t xml:space="preserve">C04-QA300-STATE-2.0.0</t>
  </si>
  <si>
    <t xml:space="preserve">L2</t>
  </si>
  <si>
    <t xml:space="preserve">C05-P03-E1</t>
  </si>
  <si>
    <t xml:space="preserve">| 하도급 수행 여부 | 아니오 |
| 실적 인정 주의사항 | 공고별 인정 규칙 확인 전에는 총 계약액×지분을 자동 인정 실적으로 쓰지 않음. 하도급 실적도 별도 검토. |
| 증빙 확보 상태 | missing — 증빙 미확보 |
| 합성 증빙 레코드 ID | SYN-EV-C05-PRJ-02 |
| 금액 범위 | company_contract — 해당 회사 계약액 |</t>
  </si>
  <si>
    <t xml:space="preserve">project-docs/가상기업/v1/generated/C02-C05/r1/C05/L2/C05-PERF-1.0.0-r1.json</t>
  </si>
  <si>
    <t xml:space="preserve">C05-PERF-1.0.0-r1</t>
  </si>
  <si>
    <t xml:space="preserve">1.0.0-r1</t>
  </si>
  <si>
    <t xml:space="preserve">C05-P03-E2</t>
  </si>
  <si>
    <t xml:space="preserve">| 하도급 수행 여부 | 아니오 |
| 실적 인정 주의사항 | 공고별 인정 규칙 확인 전에는 총 계약액×지분을 자동 인정 실적으로 쓰지 않음. 하도급 실적도 별도 검토. |
| 증빙 확보 상태 | synthetic_record — 합성 레코드 존재, 실제 발급문서 아님 |
| 합성 증빙 레코드 ID | SYN-EV-C05-PRJ-01 |
| 금액 범위 | company_contract — 해당 회사 계약액 |</t>
  </si>
  <si>
    <t xml:space="preserve">C05-S02-E1</t>
  </si>
  <si>
    <t xml:space="preserve">| 129983669 |
| calculation / target_net | 160473666 |
| calculation / target_gross | 176521032 |
| calculation / 산식 | direct = prior rounded scoped direct + synthetic external + (public agreement gross / 1.1 if supplied); cost = direct*(1+overhead/100+contingency/100); target_net = cost/(1-margin/100); target_gross = unrounded target_net*1.1; final KRW HALF_UP |</t>
  </si>
  <si>
    <t xml:space="preserve">project-docs/평가데이터/v2/retrieval/C05/L3/C05-QA300-COST-2.0.0.json</t>
  </si>
  <si>
    <t xml:space="preserve">C05-QA300-COST-2.0.0</t>
  </si>
  <si>
    <t xml:space="preserve">C05-S02-E4</t>
  </si>
  <si>
    <t xml:space="preserve">· 합성 설정값 |
| 승인 역할 | bid_approver |
| 내부 정책 | 최저 마진 미달 시 승인 요청 또는 참여 보류. 예정가격·경쟁사 가격은 추정하지 않음. |
| 산식 | labor=sum(monthly_base * person_months * (1+employer_burden/100)); direct=labor+verified_supplier_quotes+other_direct; cost=direct*(1+overhead/100+contingency/100); proposed_net=cost/(1-target_gross_margin/100) |
| 미확보 견적 처리 | 미확보 외부 견적은 null로 유지; 0원으로 계산하거</t>
  </si>
  <si>
    <t xml:space="preserve">project-docs/가상기업/v1/generated/C02-C05/r1/C05/L3/C05-COST-1.0.0-r1.json</t>
  </si>
  <si>
    <t xml:space="preserve">C05-COST-1.0.0-r1</t>
  </si>
  <si>
    <t xml:space="preserve">원시 답변 전문</t>
  </si>
  <si>
    <t xml:space="preserve">문항별 순서대로 이어 붙이면 원문과 동일</t>
  </si>
  <si>
    <t xml:space="preserve">순서</t>
  </si>
  <si>
    <t xml:space="preserve">원시 답변 구간</t>
  </si>
  <si>
    <t xml:space="preserve">**판단**: 개발자가 개인 노트북으로 작업하는 방안을 그대로 허용할 수 없습니다.  
**근거**: [1]에서 "사업 참여인원의 노트북 사용을 금지한다. ※ 불가피하게 노트북을 사용하여야하는 경우에는 고정장치를 사용하여야 하며, 고정장치 비밀번호는 발주기관이 관리하고 발주기관의 승인 하에 반·출입하여야 한다"고 명시하고 있습니다.  
**유보사항**:</t>
  </si>
  <si>
    <t xml:space="preserve">- 개인 노트북 사용이 불가피한 경우, 고정장치 사용을 필수로 하며, 고정장치의 비밀번호는 발주기관이 관리하고, 반·출입 시 발주기관의 승인을 받아야 함.  
- 이에 따라 개인 노트북 사용이 허용되지 않으므로, 개발자가 개인 노트북으로 작업하는 방안은 기존 요구사항과 충돌하여 허용할 수 없습니다.  
- 근거가 부족하거나 충돌하는 경우, 추가 확인이 필요하며, 개별 요건과 전체 적격을 구분하여 판단해야 함.</t>
  </si>
  <si>
    <t xml:space="preserve">**판단**: 재하도급은 허용되지 않음  
**근거**: [2]에서 "재하도급은 원칙적으로 불가"고 명시됨.  
**유보사항**:  
- [2] 제2항 2가에서는 "재하도급은 원칙적으로 불가"고 명시하며, 하도급 제한 범위 내에서만 허용됨.  
- 재하도급을 허용할 경우, 「소프트웨어산업 진흥법」및「소프트웨어사업의 하도급 승인 및 관리 지침」에 따라 반드시 승인 절차를 거려야 하며, 이 절차가 거치지 않은 경우 재하도급은 불법임.</t>
  </si>
  <si>
    <t xml:space="preserve">- [2] 제2항 2나는 "하도급 제한 범위를 초과하여 하도급 승인을 신청한 경우, 발주사는 접수를 반려하거나 서류 보완을 요청할 수 있다."고 명시하며, 이는 재하도급의 허용을 제한함.  
- [2] 제2항 6가에서는 "하도급 업체와 계약을 체결할 경우, ‘소프트웨어사업 표준하도급계약서’(서식13, 서식14) 사용"하고, 이는 재하도급의 경우에도 동일한 계약서를 사용해야 함.</t>
  </si>
  <si>
    <t xml:space="preserve">- [2] 제2항 6라에서는 "본 사업에서 전체 사업금액 대비 10%를 초과하여 하도급하려는 경우, 하수급인과 공동수급체를 구성하여 참여해야 한다."고 명시하며, 이는 재하도급의 경우에도 적용됨.  
- [2] 제2항 7가에서는 "하도급 계약의 준수여부 확인을 위하여 아래 서류를 제출해야 한다."고 명시하며, 재하도급의 경우에도 이 서류 제출이 필요함.</t>
  </si>
  <si>
    <t xml:space="preserve">- [2] 제2항 7나에서는 "‘소프트웨어사업 하도급계약 준수실태 보고서’와 통장거래내역 사본을 종합보고서에 첨부하여 제출(월 1회 이상)"고 명시하며, 재하도급의 경우에도 이 제출이 필요함.  
- [2] 제2항 5가에서는 "하도급 계약의 적정성 판단 후, 85점 이상인 경우에 하도급 계약을 승인한다."고 명시하며, 이는 재하도급의 경우에도 적용됨.</t>
  </si>
  <si>
    <t xml:space="preserve">- [2] 제2항 5나에서는 "계약업체가 하도급 제한 범위를 초과하여 하도급 승인을 신청한 경우, 발주사는 접수를 반려하거나 서류 보완을 요청할 수 있다."고 명시하며, 이는 재하도급의 경우에도 적용됨.  
- [2] 제2항 5라에서는 "계약업체는 발주사에서 승인한 경우에 한하여 거절된 승인요청을 거절통지를 받은 날로부터 7일 이내에 관련서류를 변경‧보완하여 다시 신청할 수 있다."고 명시하며, 이는 재하도급의 경우에도 적용됨.  
- [2] 제2항</t>
  </si>
  <si>
    <t xml:space="preserve">판단: 개발·시험 라이선스와 보안도구 가정을 더한 비용에서 목표 마진과 VAT를 순서대로 적용할 수 있다.  
 근거: [1] 합성 회사 자료에서 계산값이 제공되었으며, 계산식은 "target_gross = unrounded target_net*1.1"로 VAT를 적용하고, "target_net = cost/(1-margin/100)"로 목표 마진을 적용하였다.</t>
  </si>
  <si>
    <t xml:space="preserve">유보사항: 실제 발급 증명서가 아님에 따라 계산된 값은 합성 시나리오 기반이며, 실제 증빙·실제 투찰가가 아님을 고려해야 한다.</t>
  </si>
  <si>
    <t xml:space="preserve">판단: 누리의 가상 공급권한과 CSAP는 **C04** 보유 주체 및 **SC-QA300-C04-A / 2.0.0** 버전으로 조회해야 한다.  
근거: [1]에서 "state_change / 보유 주체 유형"은 "service"로 명시되며, "state_change / 종류"는 "hypothetical_service_authorization"로 명시되어 C04 보유 주체 및 SC-QA300-C04-A / 2.0.0 버전이 해당 시나리오의 기준이다.</t>
  </si>
  <si>
    <t xml:space="preserve">유보사항: CSAP 인증 코드는 [1]에서 "업종·인증 코드"로 "CSAP"가 명시되어 있으나, 실제 발급 증명서가 아님을 고려해야 하며, 해당 정보는 합성 원장의 설정에 기반한다.</t>
  </si>
  <si>
    <t xml:space="preserve">**판단**: 두 번째 실적 증빙은 확보되지 않는다.  
**근거**: [1]에서 제공된 실적 대장 데이터에 따르면, C05-PRJ-02 실적은 "증빙 확보 상태: missing — 증빙 미확보"로 기재되어 있으며, [2]에서 제공된 실적 대장 데이터는 "증빙 확보 상태: synthetic_record — 합성 레코드 존재, 실제 발급문서 아님"으로 기재되어 있다. 이는 두 실적의 증빙 상태가 서로 다르며, 실제 발급 증명서가 아닌 합성 레코드로만 기재되어 있다</t>
  </si>
  <si>
    <t xml:space="preserve">.  
**유보사항**: 공고 기준일(2026-04-01) 기준으로, 실제 증빙이 확보되지 않았으므로, PMS 완료 대장 생성 시에도 두 번째 실적 증빙은 확보되지 않는다. 또한, 합성 시나리오에 따르면, 실제 발급 증빙이 아님을 명시하고 있으므로, 실제 증빙 확보 여부는 확인되지 않는다.</t>
  </si>
  <si>
    <t xml:space="preserve">판단: 새온의 PC·모니터·Office·게이트웨이·부대 장비 합성 명세를 합산하고 마진·VAT 적용 금액을 구할 수 있다.  
 근거: [1] 합성 회사 자료에서 계산된 값과 산식을 기준으로 합산 가능하며, [4] 원가·마진 공통 정책에서 마진·VAT 적용 금액을 계산할 수 있음.  
 유보사항: 실제 발급 증명서가 아니며, 합성 시나리오로 실제 구매/공급 가능 여부는 미확정.  
계산:  
- PC·모니터·Office·게이트웨이·부대 장비 합성 명세:</t>
  </si>
  <si>
    <t xml:space="preserve">- Office 2024 사용권: 2 units × 400,000 KRW/unit = 800,000 KRW [2]  
  - 컨트롤러·통신·IO·함체 게이트웨이 세트: 3 units × 4,800,000 KRW/unit = 14,400,000 KRW [3]  
  - 합산: 800,000 KRW + 14,400,000 KRW = 15,200,000 KRW  
- 마진 적용 금액:  
  - 목표 매출대비 마진: 19% [4]</t>
  </si>
  <si>
    <t xml:space="preserve">- 15,200,000 KRW × 19% = 2,888,000 KRW  
  - VAT 적용 금액: 15,200,000 KRW × 10% = 1,520,000 KRW [4]  
- 최종 금액:  
  - 목표 매출대비 마진 적용: 15,200,000 KRW + 2,888,000 KRW = 18,088,000 KRW  
  - VAT 적용: 18,088,000 KRW + 1,520,000 KRW = 19,608,000 KRW</t>
  </si>
  <si>
    <t xml:space="preserve">근거가 부족한 항목: 실제 발급 증명서 및 실제 구매/공급 가능 여부는 미확정으로, 해당 금액은 합성 시나리오 기준이며, 실제 투찰가가 아님.</t>
  </si>
  <si>
    <t xml:space="preserve">구절 라벨링 기준</t>
  </si>
  <si>
    <t xml:space="preserve">에이전트 초안 · 학습 사용 전 사람 검수</t>
  </si>
  <si>
    <t xml:space="preserve">항목</t>
  </si>
  <si>
    <t xml:space="preserve">기준</t>
  </si>
  <si>
    <t xml:space="preserve">검토 순서</t>
  </si>
  <si>
    <t xml:space="preserve">질문과 답변, 실제 입력 근거를 먼저 읽고 구절별 동의·수정·삭제·보류를 기록한다.</t>
  </si>
  <si>
    <t xml:space="preserve">입력 근거에 반하는 주장. 증빙 missing을 존재로 바꾸거나 서비스 보유 주체를 회사로 바꾸는 경우.</t>
  </si>
  <si>
    <t xml:space="preserve">입력에 지지 근거가 없는 추가 주장. 현실의 거짓이나 법적 위법성을 확정하는 분류가 아니다.</t>
  </si>
  <si>
    <t xml:space="preserve">CITATION_ERROR</t>
  </si>
  <si>
    <t xml:space="preserve">존재하지 않는 번호·잘못된 페이지 등 출처 오류. 환각 토큰 학습 목표와 분리한다.</t>
  </si>
  <si>
    <t xml:space="preserve">UNCERTAIN</t>
  </si>
  <si>
    <t xml:space="preserve">범위가 모호한 표현. 확정 양성·음성으로 학습하지 말고 사람에게 판정을 맡긴다.</t>
  </si>
  <si>
    <t xml:space="preserve">누락·반복·잘림</t>
  </si>
  <si>
    <t xml:space="preserve">업무 품질 문제로 별도 기록. 답변에 없는 구절을 새로 만들지 않는다.</t>
  </si>
  <si>
    <t xml:space="preserve">문자 위치</t>
  </si>
  <si>
    <t xml:space="preserve">0부터 시작, 끝 제외. 원시 Markdown·공백·LF를 유지하는 Unicode code point 기준이다.</t>
  </si>
  <si>
    <t xml:space="preserve">추가 검수 근거</t>
  </si>
  <si>
    <t xml:space="preserve">원래 입력에서 빠진 원문은 참고 전용이며 모델 입력에 소급 포함하지 않는다.</t>
  </si>
  <si>
    <t xml:space="preserve">사람 승인</t>
  </si>
  <si>
    <t xml:space="preserve">현재 모두 pending. 엑셀 의견이 자동 승인·학습 입력이 되지 않는다. 교차검수와 최종 조정이 필요하다.</t>
  </si>
  <si>
    <t xml:space="preserve">대표성</t>
  </si>
  <si>
    <t xml:space="preserve">회사별 5개 의도 표본이며 기존 개발 노출 자료다. 전체 오류율이나 독립 성능 지표로 쓰지 않는다.</t>
  </si>
  <si>
    <t xml:space="preserve">기대답·상세 지침</t>
  </si>
  <si>
    <t xml:space="preserve">review.html에서 질문·기대답·형광펜·근거를 함께 볼 수 있다. 자세한 기준은 GUIDELINES.md에 있다.</t>
  </si>
  <si>
    <t xml:space="preserve">기대답과 에이전트 설명</t>
  </si>
  <si>
    <t xml:space="preserve">기대답은 원문 증거를 대체하지 않음</t>
  </si>
  <si>
    <t xml:space="preserve">기대답</t>
  </si>
  <si>
    <t xml:space="preserve">에이전트 설명</t>
  </si>
  <si>
    <t xml:space="preserve">원칙은 참여인원의 노트북 사용 금지다. 불가피한 사용은 고정장치 사용, 발주기관의 비밀번호 관리 및 승인 아래 반출입하는 예외 조건이 있다.</t>
  </si>
  <si>
    <t xml:space="preserve">원칙 금지와 예외 절차를 함께 설명한다. 질문의 그대로 허용이라는 범위에서 읽으면 핵심 모순은 발견하지 못했다.</t>
  </si>
  <si>
    <t xml:space="preserve">재하도급 제한과 승인 조건을 별도로 확인한다.</t>
  </si>
  <si>
    <t xml:space="preserve">하도급 규정을 재하도급에 자동 확장하는 구절을 표시한다. 법적 위법성 판단이 아니라 입력 문서의 지지 여부를 검토했다.</t>
  </si>
  <si>
    <t xml:space="preserve">합성 범위 원가(VAT 제외) 92,803,048원, 목표 금액(VAT 제외) 111,810,902원, VAT 포함 122,991,992원이다. 매출대비 마진은 원가/(1-마진율)로 계산한다. 실제 견적·제출 투찰가는 아니며 actual_bid_price는 null이다.</t>
  </si>
  <si>
    <t xml:space="preserve">산식은 근거와 일치하지만 요청한 실제 계산 숫자를 제시하지 않았다. 누락을 환각 span으로 만들지 않는 대조 사례다.</t>
  </si>
  <si>
    <t xml:space="preserve">SC-QA300-C04-A의 C04-SERVICE-01 서비스 기준으로 조회한다. 회사 ISO와 별개이며 실제 서비스 인증·공급계약을 확보한 것은 아니다.</t>
  </si>
  <si>
    <t xml:space="preserve">인증 보유 주체 service를 회사 C04로 바꿨다. 시나리오·버전 표기는 유지한다.</t>
  </si>
  <si>
    <t xml:space="preserve">아니다. C05-PRJ-02는 완료 설정과 별개로 증빙 상태가 missing이며 대장 생성으로 바뀌지 않는다.</t>
  </si>
  <si>
    <t xml:space="preserve">대장 생성과 missing 상태의 분리가 핵심적으로 지지된다. 기준일을 공고일이라고 부른 부분은 날짜의 역할을 추가로 단정한다.</t>
  </si>
  <si>
    <t xml:space="preserve">합성 범위 원가(VAT 제외) 129,983,669원, 목표 금액(VAT 제외) 160,473,666원, VAT 포함 176,521,032원이다. 매출대비 마진은 원가/(1-마진율)로 계산한다. 실제 견적·제출 투찰가는 아니며 actual_bid_price는 null이다.</t>
  </si>
  <si>
    <t xml:space="preserve">두 품목 소계 산술 자체는 맞다. 이를 전체 원가로 대체하고 매출대비 마진·VAT를 잘못 적용하는 부분을 표시한다.</t>
  </si>
</sst>
</file>

<file path=xl/styles.xml><?xml version="1.0" encoding="utf-8"?>
<styleSheet xmlns="http://schemas.openxmlformats.org/spreadsheetml/2006/main">
  <numFmts count="2">
    <numFmt numFmtId="164" formatCode="General"/>
    <numFmt numFmtId="165" formatCode="0"/>
  </numFmts>
  <fonts count="9">
    <font>
      <sz val="10"/>
      <name val="Noto Sans CJK KR"/>
      <family val="2"/>
      <charset val="1"/>
    </font>
    <font>
      <sz val="10"/>
      <name val="Arial"/>
      <family val="0"/>
    </font>
    <font>
      <sz val="10"/>
      <name val="Arial"/>
      <family val="0"/>
    </font>
    <font>
      <sz val="10"/>
      <name val="Arial"/>
      <family val="0"/>
    </font>
    <font>
      <sz val="11"/>
      <name val="Calibri"/>
      <family val="0"/>
      <charset val="1"/>
    </font>
    <font>
      <b val="true"/>
      <sz val="15"/>
      <color rgb="FF172235"/>
      <name val="Malgun Gothic"/>
      <family val="0"/>
      <charset val="1"/>
    </font>
    <font>
      <sz val="11"/>
      <color rgb="FF172235"/>
      <name val="Malgun Gothic"/>
      <family val="0"/>
      <charset val="1"/>
    </font>
    <font>
      <sz val="10"/>
      <color rgb="FF526279"/>
      <name val="Malgun Gothic"/>
      <family val="0"/>
      <charset val="1"/>
    </font>
    <font>
      <b val="true"/>
      <sz val="11"/>
      <color rgb="FFFFFFFF"/>
      <name val="Malgun Gothic"/>
      <family val="0"/>
      <charset val="1"/>
    </font>
  </fonts>
  <fills count="5">
    <fill>
      <patternFill patternType="none"/>
    </fill>
    <fill>
      <patternFill patternType="gray125"/>
    </fill>
    <fill>
      <patternFill patternType="solid">
        <fgColor rgb="FF263B59"/>
        <bgColor rgb="FF333399"/>
      </patternFill>
    </fill>
    <fill>
      <patternFill patternType="solid">
        <fgColor rgb="FFFFF2CC"/>
        <bgColor rgb="FFF1F4F8"/>
      </patternFill>
    </fill>
    <fill>
      <patternFill patternType="solid">
        <fgColor rgb="FFF1F4F8"/>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top" textRotation="0" wrapText="true" indent="0" shrinkToFit="false"/>
      <protection locked="true" hidden="false"/>
    </xf>
    <xf numFmtId="164" fontId="6" fillId="0" borderId="0" xfId="2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8" fillId="2" borderId="0" xfId="20" applyFont="true" applyBorder="true" applyAlignment="true" applyProtection="false">
      <alignment horizontal="general" vertical="top" textRotation="0" wrapText="true" indent="0" shrinkToFit="false"/>
      <protection locked="true" hidden="false"/>
    </xf>
    <xf numFmtId="165" fontId="6" fillId="0" borderId="0" xfId="20" applyFont="true" applyBorder="true" applyAlignment="true" applyProtection="false">
      <alignment horizontal="general" vertical="top" textRotation="0" wrapText="true" indent="0" shrinkToFit="false"/>
      <protection locked="true" hidden="false"/>
    </xf>
    <xf numFmtId="164" fontId="6" fillId="3" borderId="0" xfId="20" applyFont="true" applyBorder="true" applyAlignment="true" applyProtection="false">
      <alignment horizontal="general" vertical="top" textRotation="0" wrapText="true" indent="0" shrinkToFit="false"/>
      <protection locked="true" hidden="false"/>
    </xf>
    <xf numFmtId="164" fontId="6" fillId="4" borderId="0" xfId="20" applyFont="true" applyBorder="true" applyAlignment="true" applyProtection="false">
      <alignment horizontal="general" vertical="top" textRotation="0" wrapText="true" indent="0" shrinkToFit="false"/>
      <protection locked="true" hidden="false"/>
    </xf>
    <xf numFmtId="165" fontId="6" fillId="4" borderId="0" xfId="2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6">
    <dxf>
      <fill>
        <patternFill patternType="solid">
          <fgColor rgb="FF263B59"/>
        </patternFill>
      </fill>
    </dxf>
    <dxf>
      <fill>
        <patternFill patternType="solid">
          <fgColor rgb="FFF1F4F8"/>
        </patternFill>
      </fill>
    </dxf>
    <dxf>
      <fill>
        <patternFill patternType="solid">
          <fgColor rgb="00FFFFFF"/>
        </patternFill>
      </fill>
    </dxf>
    <dxf>
      <fill>
        <patternFill patternType="solid">
          <fgColor rgb="FF172235"/>
        </patternFill>
      </fill>
    </dxf>
    <dxf>
      <fill>
        <patternFill patternType="solid">
          <fgColor rgb="FFFFFFFF"/>
        </patternFill>
      </fill>
    </dxf>
    <dxf>
      <fill>
        <patternFill patternType="solid">
          <f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1F4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6279"/>
      <rgbColor rgb="FF969696"/>
      <rgbColor rgb="FF172235"/>
      <rgbColor rgb="FF339966"/>
      <rgbColor rgb="FF003300"/>
      <rgbColor rgb="FF333300"/>
      <rgbColor rgb="FF993300"/>
      <rgbColor rgb="FF993366"/>
      <rgbColor rgb="FF333399"/>
      <rgbColor rgb="FF263B5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tables/table1.xml><?xml version="1.0" encoding="utf-8"?>
<table xmlns="http://schemas.openxmlformats.org/spreadsheetml/2006/main" id="1" name="Table1" displayName="Table1" ref="A4:H10" headerRowCount="1" totalsRowCount="0" totalsRowShown="0">
  <tableColumns count="8">
    <tableColumn id="1" name="문항 ID"/>
    <tableColumn id="2" name="회사"/>
    <tableColumn id="3" name="질문"/>
    <tableColumn id="4" name="초안 구절 수"/>
    <tableColumn id="5" name="품질·추가 확인"/>
    <tableColumn id="6" name="사람 판정"/>
    <tableColumn id="7" name="검수자"/>
    <tableColumn id="8" name="검수 의견"/>
  </tableColumns>
</table>
</file>

<file path=xl/tables/table2.xml><?xml version="1.0" encoding="utf-8"?>
<table xmlns="http://schemas.openxmlformats.org/spreadsheetml/2006/main" id="2" name="Table2" displayName="Table2" ref="A4:K20" headerRowCount="1" totalsRowCount="0" totalsRowShown="0">
  <tableColumns count="11">
    <tableColumn id="1" name="문항 ID"/>
    <tableColumn id="2" name="구절 ID"/>
    <tableColumn id="3" name="실제 구절"/>
    <tableColumn id="4" name="초안 분류"/>
    <tableColumn id="5" name="판단 이유"/>
    <tableColumn id="6" name="근거 ID"/>
    <tableColumn id="7" name="시작"/>
    <tableColumn id="8" name="끝"/>
    <tableColumn id="9" name="사람 판정"/>
    <tableColumn id="10" name="수정 구절·위치"/>
    <tableColumn id="11" name="검수 의견"/>
  </tableColumns>
</table>
</file>

<file path=xl/tables/table3.xml><?xml version="1.0" encoding="utf-8"?>
<table xmlns="http://schemas.openxmlformats.org/spreadsheetml/2006/main" id="3" name="Table3" displayName="Table3" ref="A4:I12" headerRowCount="1" totalsRowCount="0" totalsRowShown="0">
  <tableColumns count="9">
    <tableColumn id="1" name="근거 ID"/>
    <tableColumn id="2" name="근거 범위"/>
    <tableColumn id="3" name="정확한 인용"/>
    <tableColumn id="4" name="원문 파일"/>
    <tableColumn id="5" name="문서 ID"/>
    <tableColumn id="6" name="버전"/>
    <tableColumn id="7" name="시작"/>
    <tableColumn id="8" name="끝"/>
    <tableColumn id="9" name="등급"/>
  </tableColumns>
</table>
</file>

<file path=xl/tables/table4.xml><?xml version="1.0" encoding="utf-8"?>
<table xmlns="http://schemas.openxmlformats.org/spreadsheetml/2006/main" id="4" name="Table4" displayName="Table4" ref="A4:E21" headerRowCount="1" totalsRowCount="0" totalsRowShown="0">
  <tableColumns count="5">
    <tableColumn id="1" name="문항 ID"/>
    <tableColumn id="2" name="순서"/>
    <tableColumn id="3" name="원시 답변 구간"/>
    <tableColumn id="4" name="시작"/>
    <tableColumn id="5" name="끝"/>
  </tableColumns>
</table>
</file>

<file path=xl/tables/table5.xml><?xml version="1.0" encoding="utf-8"?>
<table xmlns="http://schemas.openxmlformats.org/spreadsheetml/2006/main" id="5" name="Table5" displayName="Table5" ref="A4:B15" headerRowCount="1" totalsRowCount="0" totalsRowShown="0">
  <tableColumns count="2">
    <tableColumn id="1" name="항목"/>
    <tableColumn id="2" name="기준"/>
  </tableColumns>
</table>
</file>

<file path=xl/tables/table6.xml><?xml version="1.0" encoding="utf-8"?>
<table xmlns="http://schemas.openxmlformats.org/spreadsheetml/2006/main" id="6" name="Table6" displayName="Table6" ref="A4:D10" headerRowCount="1" totalsRowCount="0" totalsRowShown="0">
  <tableColumns count="4">
    <tableColumn id="1" name="문항 ID"/>
    <tableColumn id="2" name="질문"/>
    <tableColumn id="3" name="기대답"/>
    <tableColumn id="4" name="에이전트 설명"/>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B1" colorId="64" zoomScale="45" zoomScaleNormal="45" zoomScalePageLayoutView="100" workbookViewId="0">
      <pane xSplit="0" ySplit="4" topLeftCell="A5" activePane="bottomLeft" state="frozen"/>
      <selection pane="topLeft" activeCell="B1" activeCellId="0" sqref="B1"/>
      <selection pane="bottomLeft" activeCell="H10" activeCellId="0" sqref="H10"/>
    </sheetView>
  </sheetViews>
  <sheetFormatPr defaultColWidth="8.695312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54.98"/>
    <col collapsed="false" customWidth="true" hidden="false" outlineLevel="0" max="4" min="4" style="0" width="11.99"/>
    <col collapsed="false" customWidth="true" hidden="false" outlineLevel="0" max="5" min="5" style="0" width="52"/>
    <col collapsed="false" customWidth="true" hidden="false" outlineLevel="0" max="6" min="6" style="0" width="18"/>
    <col collapsed="false" customWidth="true" hidden="false" outlineLevel="0" max="7" min="7" style="0" width="16"/>
    <col collapsed="false" customWidth="true" hidden="false" outlineLevel="0" max="8" min="8" style="0" width="122.71"/>
  </cols>
  <sheetData>
    <row r="1" customFormat="false" ht="23.85" hidden="false" customHeight="true" outlineLevel="0" collapsed="false">
      <c r="A1" s="1" t="s">
        <v>0</v>
      </c>
      <c r="B1" s="2"/>
      <c r="C1" s="2"/>
      <c r="D1" s="2"/>
      <c r="E1" s="2"/>
      <c r="F1" s="2"/>
      <c r="G1" s="2"/>
      <c r="H1" s="2"/>
    </row>
    <row r="2" customFormat="false" ht="38.05" hidden="false" customHeight="true" outlineLevel="0" collapsed="false">
      <c r="A2" s="3" t="s">
        <v>1</v>
      </c>
      <c r="B2" s="2"/>
      <c r="C2" s="2"/>
      <c r="D2" s="2"/>
      <c r="E2" s="2"/>
      <c r="F2" s="2"/>
      <c r="G2" s="2"/>
      <c r="H2" s="2"/>
    </row>
    <row r="3" customFormat="false" ht="9.3" hidden="false" customHeight="true" outlineLevel="0" collapsed="false">
      <c r="A3" s="2"/>
      <c r="B3" s="2"/>
      <c r="C3" s="2"/>
      <c r="D3" s="2"/>
      <c r="E3" s="2"/>
      <c r="F3" s="2"/>
      <c r="G3" s="2"/>
      <c r="H3" s="2"/>
    </row>
    <row r="4" customFormat="false" ht="32" hidden="false" customHeight="true" outlineLevel="0" collapsed="false">
      <c r="A4" s="4" t="s">
        <v>2</v>
      </c>
      <c r="B4" s="4" t="s">
        <v>3</v>
      </c>
      <c r="C4" s="4" t="s">
        <v>4</v>
      </c>
      <c r="D4" s="4" t="s">
        <v>5</v>
      </c>
      <c r="E4" s="4" t="s">
        <v>6</v>
      </c>
      <c r="F4" s="4" t="s">
        <v>7</v>
      </c>
      <c r="G4" s="4" t="s">
        <v>8</v>
      </c>
      <c r="H4" s="4" t="s">
        <v>9</v>
      </c>
    </row>
    <row r="5" customFormat="false" ht="194" hidden="false" customHeight="true" outlineLevel="0" collapsed="false">
      <c r="A5" s="2" t="s">
        <v>10</v>
      </c>
      <c r="B5" s="2" t="s">
        <v>11</v>
      </c>
      <c r="C5" s="2" t="s">
        <v>12</v>
      </c>
      <c r="D5" s="5" t="n">
        <v>0</v>
      </c>
      <c r="E5" s="2" t="s">
        <v>13</v>
      </c>
      <c r="F5" s="6" t="s">
        <v>14</v>
      </c>
      <c r="G5" s="6" t="s">
        <v>15</v>
      </c>
      <c r="H5" s="6" t="s">
        <v>16</v>
      </c>
    </row>
    <row r="6" customFormat="false" ht="347.2" hidden="false" customHeight="false" outlineLevel="0" collapsed="false">
      <c r="A6" s="7" t="s">
        <v>17</v>
      </c>
      <c r="B6" s="7" t="s">
        <v>11</v>
      </c>
      <c r="C6" s="7" t="s">
        <v>18</v>
      </c>
      <c r="D6" s="8" t="n">
        <v>9</v>
      </c>
      <c r="E6" s="7" t="s">
        <v>19</v>
      </c>
      <c r="F6" s="6" t="s">
        <v>20</v>
      </c>
      <c r="G6" s="6" t="s">
        <v>15</v>
      </c>
      <c r="H6" s="6" t="s">
        <v>21</v>
      </c>
    </row>
    <row r="7" customFormat="false" ht="130.85" hidden="false" customHeight="true" outlineLevel="0" collapsed="false">
      <c r="A7" s="2" t="s">
        <v>22</v>
      </c>
      <c r="B7" s="2" t="s">
        <v>23</v>
      </c>
      <c r="C7" s="2" t="s">
        <v>24</v>
      </c>
      <c r="D7" s="5" t="n">
        <v>0</v>
      </c>
      <c r="E7" s="2" t="s">
        <v>25</v>
      </c>
      <c r="F7" s="6" t="s">
        <v>14</v>
      </c>
      <c r="G7" s="6" t="s">
        <v>15</v>
      </c>
      <c r="H7" s="6" t="s">
        <v>26</v>
      </c>
    </row>
    <row r="8" customFormat="false" ht="63.1" hidden="false" customHeight="true" outlineLevel="0" collapsed="false">
      <c r="A8" s="7" t="s">
        <v>27</v>
      </c>
      <c r="B8" s="7" t="s">
        <v>28</v>
      </c>
      <c r="C8" s="7" t="s">
        <v>29</v>
      </c>
      <c r="D8" s="8" t="n">
        <v>2</v>
      </c>
      <c r="E8" s="7"/>
      <c r="F8" s="6" t="s">
        <v>14</v>
      </c>
      <c r="G8" s="6" t="s">
        <v>15</v>
      </c>
      <c r="H8" s="6" t="s">
        <v>30</v>
      </c>
    </row>
    <row r="9" customFormat="false" ht="98.7" hidden="false" customHeight="true" outlineLevel="0" collapsed="false">
      <c r="A9" s="2" t="s">
        <v>31</v>
      </c>
      <c r="B9" s="2" t="s">
        <v>32</v>
      </c>
      <c r="C9" s="2" t="s">
        <v>33</v>
      </c>
      <c r="D9" s="5" t="n">
        <v>1</v>
      </c>
      <c r="E9" s="2"/>
      <c r="F9" s="6" t="s">
        <v>14</v>
      </c>
      <c r="G9" s="6" t="s">
        <v>15</v>
      </c>
      <c r="H9" s="6" t="s">
        <v>34</v>
      </c>
    </row>
    <row r="10" customFormat="false" ht="160.7" hidden="false" customHeight="true" outlineLevel="0" collapsed="false">
      <c r="A10" s="7" t="s">
        <v>35</v>
      </c>
      <c r="B10" s="7" t="s">
        <v>32</v>
      </c>
      <c r="C10" s="7" t="s">
        <v>36</v>
      </c>
      <c r="D10" s="8" t="n">
        <v>4</v>
      </c>
      <c r="E10" s="7" t="s">
        <v>37</v>
      </c>
      <c r="F10" s="6" t="s">
        <v>14</v>
      </c>
      <c r="G10" s="6" t="s">
        <v>15</v>
      </c>
      <c r="H10" s="6" t="s">
        <v>38</v>
      </c>
    </row>
  </sheetData>
  <dataValidations count="1">
    <dataValidation allowBlank="false" errorStyle="stop" operator="between" showDropDown="false" showErrorMessage="false" showInputMessage="false" sqref="F5:F10" type="list">
      <formula1>"pending,동의,수정 제안,재검토"</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G1" colorId="64" zoomScale="45" zoomScaleNormal="45" zoomScalePageLayoutView="100" workbookViewId="0">
      <pane xSplit="0" ySplit="4" topLeftCell="A8" activePane="bottomLeft" state="frozen"/>
      <selection pane="topLeft" activeCell="G1" activeCellId="0" sqref="G1"/>
      <selection pane="bottomLeft" activeCell="K11" activeCellId="0" sqref="K11"/>
    </sheetView>
  </sheetViews>
  <sheetFormatPr defaultColWidth="8.6953125" defaultRowHeight="12.8" zeroHeight="false" outlineLevelRow="0" outlineLevelCol="0"/>
  <cols>
    <col collapsed="false" customWidth="true" hidden="false" outlineLevel="0" max="1" min="1" style="0" width="27"/>
    <col collapsed="false" customWidth="true" hidden="false" outlineLevel="0" max="2" min="2" style="0" width="28.98"/>
    <col collapsed="false" customWidth="true" hidden="false" outlineLevel="0" max="3" min="3" style="0" width="65.01"/>
    <col collapsed="false" customWidth="true" hidden="false" outlineLevel="0" max="4" min="4" style="0" width="22.01"/>
    <col collapsed="false" customWidth="true" hidden="false" outlineLevel="0" max="5" min="5" style="0" width="61.99"/>
    <col collapsed="false" customWidth="true" hidden="false" outlineLevel="0" max="6" min="6" style="0" width="40"/>
    <col collapsed="false" customWidth="true" hidden="false" outlineLevel="0" max="8" min="7" style="0" width="10"/>
    <col collapsed="false" customWidth="true" hidden="false" outlineLevel="0" max="9" min="9" style="0" width="18"/>
    <col collapsed="false" customWidth="true" hidden="false" outlineLevel="0" max="10" min="10" style="0" width="44.99"/>
    <col collapsed="false" customWidth="true" hidden="false" outlineLevel="0" max="11" min="11" style="0" width="76.94"/>
  </cols>
  <sheetData>
    <row r="1" customFormat="false" ht="45" hidden="false" customHeight="true" outlineLevel="0" collapsed="false">
      <c r="A1" s="1" t="s">
        <v>39</v>
      </c>
      <c r="B1" s="2"/>
      <c r="C1" s="2"/>
      <c r="D1" s="2"/>
      <c r="E1" s="2"/>
      <c r="F1" s="2"/>
      <c r="G1" s="2"/>
      <c r="H1" s="2"/>
      <c r="I1" s="2"/>
      <c r="J1" s="2"/>
      <c r="K1" s="2"/>
    </row>
    <row r="2" customFormat="false" ht="30.95" hidden="false" customHeight="true" outlineLevel="0" collapsed="false">
      <c r="A2" s="3" t="s">
        <v>40</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2" hidden="false" customHeight="true" outlineLevel="0" collapsed="false">
      <c r="A4" s="4" t="s">
        <v>2</v>
      </c>
      <c r="B4" s="4" t="s">
        <v>41</v>
      </c>
      <c r="C4" s="4" t="s">
        <v>42</v>
      </c>
      <c r="D4" s="4" t="s">
        <v>43</v>
      </c>
      <c r="E4" s="4" t="s">
        <v>44</v>
      </c>
      <c r="F4" s="4" t="s">
        <v>45</v>
      </c>
      <c r="G4" s="4" t="s">
        <v>46</v>
      </c>
      <c r="H4" s="4" t="s">
        <v>47</v>
      </c>
      <c r="I4" s="4" t="s">
        <v>7</v>
      </c>
      <c r="J4" s="4" t="s">
        <v>48</v>
      </c>
      <c r="K4" s="4" t="s">
        <v>9</v>
      </c>
    </row>
    <row r="5" customFormat="false" ht="73.05" hidden="false" customHeight="true" outlineLevel="0" collapsed="false">
      <c r="A5" s="2" t="s">
        <v>17</v>
      </c>
      <c r="B5" s="2" t="s">
        <v>49</v>
      </c>
      <c r="C5" s="2" t="s">
        <v>50</v>
      </c>
      <c r="D5" s="2" t="s">
        <v>51</v>
      </c>
      <c r="E5" s="2" t="s">
        <v>52</v>
      </c>
      <c r="F5" s="2" t="s">
        <v>53</v>
      </c>
      <c r="G5" s="5" t="n">
        <v>115</v>
      </c>
      <c r="H5" s="5" t="n">
        <v>134</v>
      </c>
      <c r="I5" s="6" t="s">
        <v>54</v>
      </c>
      <c r="J5" s="6"/>
      <c r="K5" s="6" t="s">
        <v>55</v>
      </c>
    </row>
    <row r="6" customFormat="false" ht="137.75" hidden="false" customHeight="false" outlineLevel="0" collapsed="false">
      <c r="A6" s="7" t="s">
        <v>17</v>
      </c>
      <c r="B6" s="7" t="s">
        <v>56</v>
      </c>
      <c r="C6" s="7" t="s">
        <v>57</v>
      </c>
      <c r="D6" s="7" t="s">
        <v>51</v>
      </c>
      <c r="E6" s="7" t="s">
        <v>58</v>
      </c>
      <c r="F6" s="7" t="s">
        <v>53</v>
      </c>
      <c r="G6" s="8" t="n">
        <v>216</v>
      </c>
      <c r="H6" s="8" t="n">
        <v>242</v>
      </c>
      <c r="I6" s="6" t="s">
        <v>14</v>
      </c>
      <c r="J6" s="6"/>
      <c r="K6" s="6" t="s">
        <v>59</v>
      </c>
    </row>
    <row r="7" customFormat="false" ht="76.6" hidden="false" customHeight="true" outlineLevel="0" collapsed="false">
      <c r="A7" s="2" t="s">
        <v>17</v>
      </c>
      <c r="B7" s="2" t="s">
        <v>60</v>
      </c>
      <c r="C7" s="2" t="s">
        <v>61</v>
      </c>
      <c r="D7" s="2" t="s">
        <v>51</v>
      </c>
      <c r="E7" s="2" t="s">
        <v>62</v>
      </c>
      <c r="F7" s="2" t="s">
        <v>53</v>
      </c>
      <c r="G7" s="5" t="n">
        <v>427</v>
      </c>
      <c r="H7" s="5" t="n">
        <v>457</v>
      </c>
      <c r="I7" s="6" t="s">
        <v>14</v>
      </c>
      <c r="J7" s="6"/>
      <c r="K7" s="6" t="s">
        <v>63</v>
      </c>
    </row>
    <row r="8" customFormat="false" ht="120.35" hidden="false" customHeight="true" outlineLevel="0" collapsed="false">
      <c r="A8" s="7" t="s">
        <v>17</v>
      </c>
      <c r="B8" s="7" t="s">
        <v>64</v>
      </c>
      <c r="C8" s="7" t="s">
        <v>65</v>
      </c>
      <c r="D8" s="7" t="s">
        <v>51</v>
      </c>
      <c r="E8" s="7" t="s">
        <v>66</v>
      </c>
      <c r="F8" s="7" t="s">
        <v>53</v>
      </c>
      <c r="G8" s="8" t="n">
        <v>551</v>
      </c>
      <c r="H8" s="8" t="n">
        <v>569</v>
      </c>
      <c r="I8" s="6" t="s">
        <v>14</v>
      </c>
      <c r="J8" s="6"/>
      <c r="K8" s="6" t="s">
        <v>67</v>
      </c>
    </row>
    <row r="9" customFormat="false" ht="77.6" hidden="false" customHeight="true" outlineLevel="0" collapsed="false">
      <c r="A9" s="2" t="s">
        <v>17</v>
      </c>
      <c r="B9" s="2" t="s">
        <v>68</v>
      </c>
      <c r="C9" s="2" t="s">
        <v>69</v>
      </c>
      <c r="D9" s="2" t="s">
        <v>51</v>
      </c>
      <c r="E9" s="2" t="s">
        <v>70</v>
      </c>
      <c r="F9" s="2" t="s">
        <v>53</v>
      </c>
      <c r="G9" s="5" t="n">
        <v>634</v>
      </c>
      <c r="H9" s="5" t="n">
        <v>658</v>
      </c>
      <c r="I9" s="6" t="s">
        <v>14</v>
      </c>
      <c r="J9" s="6"/>
      <c r="K9" s="6" t="s">
        <v>71</v>
      </c>
    </row>
    <row r="10" customFormat="false" ht="70" hidden="false" customHeight="true" outlineLevel="0" collapsed="false">
      <c r="A10" s="7" t="s">
        <v>17</v>
      </c>
      <c r="B10" s="7" t="s">
        <v>72</v>
      </c>
      <c r="C10" s="7" t="s">
        <v>73</v>
      </c>
      <c r="D10" s="7" t="s">
        <v>51</v>
      </c>
      <c r="E10" s="7" t="s">
        <v>70</v>
      </c>
      <c r="F10" s="7" t="s">
        <v>53</v>
      </c>
      <c r="G10" s="8" t="n">
        <v>747</v>
      </c>
      <c r="H10" s="8" t="n">
        <v>768</v>
      </c>
      <c r="I10" s="6" t="s">
        <v>14</v>
      </c>
      <c r="J10" s="6"/>
      <c r="K10" s="6" t="s">
        <v>74</v>
      </c>
    </row>
    <row r="11" customFormat="false" ht="80.55" hidden="false" customHeight="true" outlineLevel="0" collapsed="false">
      <c r="A11" s="2" t="s">
        <v>17</v>
      </c>
      <c r="B11" s="2" t="s">
        <v>75</v>
      </c>
      <c r="C11" s="2" t="s">
        <v>65</v>
      </c>
      <c r="D11" s="2" t="s">
        <v>51</v>
      </c>
      <c r="E11" s="2" t="s">
        <v>66</v>
      </c>
      <c r="F11" s="2" t="s">
        <v>53</v>
      </c>
      <c r="G11" s="5" t="n">
        <v>840</v>
      </c>
      <c r="H11" s="5" t="n">
        <v>858</v>
      </c>
      <c r="I11" s="6" t="s">
        <v>14</v>
      </c>
      <c r="J11" s="6"/>
      <c r="K11" s="6" t="s">
        <v>76</v>
      </c>
    </row>
    <row r="12" customFormat="false" ht="90.7" hidden="false" customHeight="true" outlineLevel="0" collapsed="false">
      <c r="A12" s="7" t="s">
        <v>17</v>
      </c>
      <c r="B12" s="7" t="s">
        <v>77</v>
      </c>
      <c r="C12" s="7" t="s">
        <v>65</v>
      </c>
      <c r="D12" s="7" t="s">
        <v>51</v>
      </c>
      <c r="E12" s="7" t="s">
        <v>66</v>
      </c>
      <c r="F12" s="7" t="s">
        <v>53</v>
      </c>
      <c r="G12" s="8" t="n">
        <v>956</v>
      </c>
      <c r="H12" s="8" t="n">
        <v>974</v>
      </c>
      <c r="I12" s="6" t="s">
        <v>14</v>
      </c>
      <c r="J12" s="6"/>
      <c r="K12" s="6" t="s">
        <v>78</v>
      </c>
    </row>
    <row r="13" customFormat="false" ht="94.1" hidden="false" customHeight="true" outlineLevel="0" collapsed="false">
      <c r="A13" s="2" t="s">
        <v>17</v>
      </c>
      <c r="B13" s="2" t="s">
        <v>79</v>
      </c>
      <c r="C13" s="2" t="s">
        <v>65</v>
      </c>
      <c r="D13" s="2" t="s">
        <v>51</v>
      </c>
      <c r="E13" s="2" t="s">
        <v>66</v>
      </c>
      <c r="F13" s="2" t="s">
        <v>53</v>
      </c>
      <c r="G13" s="5" t="n">
        <v>1084</v>
      </c>
      <c r="H13" s="5" t="n">
        <v>1102</v>
      </c>
      <c r="I13" s="6" t="s">
        <v>14</v>
      </c>
      <c r="J13" s="6"/>
      <c r="K13" s="6" t="s">
        <v>80</v>
      </c>
    </row>
    <row r="14" customFormat="false" ht="70" hidden="false" customHeight="true" outlineLevel="0" collapsed="false">
      <c r="A14" s="7" t="s">
        <v>27</v>
      </c>
      <c r="B14" s="7" t="s">
        <v>81</v>
      </c>
      <c r="C14" s="7" t="s">
        <v>82</v>
      </c>
      <c r="D14" s="7" t="s">
        <v>83</v>
      </c>
      <c r="E14" s="7" t="s">
        <v>84</v>
      </c>
      <c r="F14" s="7" t="s">
        <v>85</v>
      </c>
      <c r="G14" s="8" t="n">
        <v>24</v>
      </c>
      <c r="H14" s="8" t="n">
        <v>37</v>
      </c>
      <c r="I14" s="6" t="s">
        <v>14</v>
      </c>
      <c r="J14" s="6"/>
      <c r="K14" s="6" t="s">
        <v>86</v>
      </c>
    </row>
    <row r="15" customFormat="false" ht="82.65" hidden="false" customHeight="true" outlineLevel="0" collapsed="false">
      <c r="A15" s="2" t="s">
        <v>27</v>
      </c>
      <c r="B15" s="2" t="s">
        <v>87</v>
      </c>
      <c r="C15" s="2" t="s">
        <v>88</v>
      </c>
      <c r="D15" s="2" t="s">
        <v>83</v>
      </c>
      <c r="E15" s="2" t="s">
        <v>89</v>
      </c>
      <c r="F15" s="2" t="s">
        <v>85</v>
      </c>
      <c r="G15" s="5" t="n">
        <v>201</v>
      </c>
      <c r="H15" s="5" t="n">
        <v>210</v>
      </c>
      <c r="I15" s="6" t="s">
        <v>14</v>
      </c>
      <c r="J15" s="6"/>
      <c r="K15" s="6" t="s">
        <v>90</v>
      </c>
    </row>
    <row r="16" customFormat="false" ht="83.8" hidden="false" customHeight="true" outlineLevel="0" collapsed="false">
      <c r="A16" s="7" t="s">
        <v>31</v>
      </c>
      <c r="B16" s="7" t="s">
        <v>91</v>
      </c>
      <c r="C16" s="7" t="s">
        <v>92</v>
      </c>
      <c r="D16" s="7" t="s">
        <v>51</v>
      </c>
      <c r="E16" s="7" t="s">
        <v>93</v>
      </c>
      <c r="F16" s="7" t="s">
        <v>94</v>
      </c>
      <c r="G16" s="8" t="n">
        <v>274</v>
      </c>
      <c r="H16" s="8" t="n">
        <v>292</v>
      </c>
      <c r="I16" s="6" t="s">
        <v>14</v>
      </c>
      <c r="J16" s="6"/>
      <c r="K16" s="6" t="s">
        <v>95</v>
      </c>
    </row>
    <row r="17" customFormat="false" ht="76.9" hidden="false" customHeight="true" outlineLevel="0" collapsed="false">
      <c r="A17" s="2" t="s">
        <v>35</v>
      </c>
      <c r="B17" s="2" t="s">
        <v>96</v>
      </c>
      <c r="C17" s="2" t="s">
        <v>97</v>
      </c>
      <c r="D17" s="2" t="s">
        <v>83</v>
      </c>
      <c r="E17" s="2" t="s">
        <v>98</v>
      </c>
      <c r="F17" s="2" t="s">
        <v>99</v>
      </c>
      <c r="G17" s="5" t="n">
        <v>509</v>
      </c>
      <c r="H17" s="5" t="n">
        <v>545</v>
      </c>
      <c r="I17" s="6" t="s">
        <v>14</v>
      </c>
      <c r="J17" s="6"/>
      <c r="K17" s="6" t="s">
        <v>100</v>
      </c>
    </row>
    <row r="18" customFormat="false" ht="70" hidden="false" customHeight="true" outlineLevel="0" collapsed="false">
      <c r="A18" s="7" t="s">
        <v>35</v>
      </c>
      <c r="B18" s="7" t="s">
        <v>101</v>
      </c>
      <c r="C18" s="7" t="s">
        <v>102</v>
      </c>
      <c r="D18" s="7" t="s">
        <v>83</v>
      </c>
      <c r="E18" s="7" t="s">
        <v>103</v>
      </c>
      <c r="F18" s="7" t="s">
        <v>99</v>
      </c>
      <c r="G18" s="8" t="n">
        <v>552</v>
      </c>
      <c r="H18" s="8" t="n">
        <v>599</v>
      </c>
      <c r="I18" s="6" t="s">
        <v>14</v>
      </c>
      <c r="J18" s="6"/>
      <c r="K18" s="6" t="s">
        <v>104</v>
      </c>
    </row>
    <row r="19" customFormat="false" ht="86.1" hidden="false" customHeight="false" outlineLevel="0" collapsed="false">
      <c r="A19" s="2" t="s">
        <v>35</v>
      </c>
      <c r="B19" s="2" t="s">
        <v>105</v>
      </c>
      <c r="C19" s="2" t="s">
        <v>106</v>
      </c>
      <c r="D19" s="2" t="s">
        <v>83</v>
      </c>
      <c r="E19" s="2" t="s">
        <v>107</v>
      </c>
      <c r="F19" s="2" t="s">
        <v>99</v>
      </c>
      <c r="G19" s="5" t="n">
        <v>622</v>
      </c>
      <c r="H19" s="5" t="n">
        <v>684</v>
      </c>
      <c r="I19" s="6" t="s">
        <v>14</v>
      </c>
      <c r="J19" s="6"/>
      <c r="K19" s="6" t="s">
        <v>108</v>
      </c>
    </row>
    <row r="20" customFormat="false" ht="70" hidden="false" customHeight="true" outlineLevel="0" collapsed="false">
      <c r="A20" s="7" t="s">
        <v>35</v>
      </c>
      <c r="B20" s="7" t="s">
        <v>109</v>
      </c>
      <c r="C20" s="7" t="s">
        <v>110</v>
      </c>
      <c r="D20" s="7" t="s">
        <v>83</v>
      </c>
      <c r="E20" s="7" t="s">
        <v>111</v>
      </c>
      <c r="F20" s="7" t="s">
        <v>99</v>
      </c>
      <c r="G20" s="8" t="n">
        <v>691</v>
      </c>
      <c r="H20" s="8" t="n">
        <v>746</v>
      </c>
      <c r="I20" s="6" t="s">
        <v>14</v>
      </c>
      <c r="J20" s="6"/>
      <c r="K20" s="6" t="s">
        <v>112</v>
      </c>
    </row>
    <row r="21" customFormat="false" ht="15" hidden="false" customHeight="false" outlineLevel="0" collapsed="false"/>
    <row r="22" customFormat="false" ht="15" hidden="false" customHeight="false" outlineLevel="0" collapsed="false"/>
    <row r="26" customFormat="false" ht="12.8" hidden="false" customHeight="false" outlineLevel="0" collapsed="false">
      <c r="L26" s="9"/>
    </row>
  </sheetData>
  <dataValidations count="1">
    <dataValidation allowBlank="false" errorStyle="stop" operator="between" showDropDown="false" showErrorMessage="false" showInputMessage="false" sqref="I5:I20" type="list">
      <formula1>"pending,동의,수정,삭제,보류"</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2"/>
  <sheetViews>
    <sheetView showFormulas="false" showGridLines="false" showRowColHeaders="true" showZeros="true" rightToLeft="false" tabSelected="false" showOutlineSymbols="true" defaultGridColor="true" view="normal" topLeftCell="A1" colorId="64" zoomScale="45" zoomScaleNormal="45" zoomScalePageLayoutView="100" workbookViewId="0">
      <pane xSplit="0" ySplit="4" topLeftCell="A5" activePane="bottomLeft" state="frozen"/>
      <selection pane="topLeft" activeCell="A1" activeCellId="0" sqref="A1"/>
      <selection pane="bottomLeft" activeCell="M5" activeCellId="0" sqref="M5"/>
    </sheetView>
  </sheetViews>
  <sheetFormatPr defaultColWidth="8.6953125" defaultRowHeight="15" zeroHeight="false" outlineLevelRow="0" outlineLevelCol="0"/>
  <cols>
    <col collapsed="false" customWidth="true" hidden="false" outlineLevel="0" max="1" min="1" style="0" width="30.02"/>
    <col collapsed="false" customWidth="true" hidden="false" outlineLevel="0" max="2" min="2" style="0" width="19.99"/>
    <col collapsed="false" customWidth="true" hidden="false" outlineLevel="0" max="3" min="3" style="0" width="85"/>
    <col collapsed="false" customWidth="true" hidden="false" outlineLevel="0" max="4" min="4" style="0" width="60"/>
    <col collapsed="false" customWidth="true" hidden="false" outlineLevel="0" max="5" min="5" style="0" width="44.99"/>
    <col collapsed="false" customWidth="true" hidden="false" outlineLevel="0" max="6" min="6" style="0" width="30.02"/>
    <col collapsed="false" customWidth="true" hidden="false" outlineLevel="0" max="9" min="7" style="0" width="10"/>
  </cols>
  <sheetData>
    <row r="1" customFormat="false" ht="45" hidden="false" customHeight="true" outlineLevel="0" collapsed="false">
      <c r="A1" s="1" t="s">
        <v>113</v>
      </c>
      <c r="B1" s="2"/>
      <c r="C1" s="2"/>
      <c r="D1" s="2"/>
      <c r="E1" s="2"/>
      <c r="F1" s="2"/>
      <c r="G1" s="2"/>
      <c r="H1" s="2"/>
      <c r="I1" s="2"/>
    </row>
    <row r="2" customFormat="false" ht="65" hidden="false" customHeight="true" outlineLevel="0" collapsed="false">
      <c r="A2" s="3" t="s">
        <v>114</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2" hidden="false" customHeight="true" outlineLevel="0" collapsed="false">
      <c r="A4" s="4" t="s">
        <v>45</v>
      </c>
      <c r="B4" s="4" t="s">
        <v>115</v>
      </c>
      <c r="C4" s="4" t="s">
        <v>116</v>
      </c>
      <c r="D4" s="4" t="s">
        <v>117</v>
      </c>
      <c r="E4" s="4" t="s">
        <v>118</v>
      </c>
      <c r="F4" s="4" t="s">
        <v>119</v>
      </c>
      <c r="G4" s="4" t="s">
        <v>46</v>
      </c>
      <c r="H4" s="4" t="s">
        <v>47</v>
      </c>
      <c r="I4" s="4" t="s">
        <v>120</v>
      </c>
    </row>
    <row r="5" customFormat="false" ht="388.05" hidden="false" customHeight="false" outlineLevel="0" collapsed="false">
      <c r="A5" s="2" t="s">
        <v>121</v>
      </c>
      <c r="B5" s="2" t="s">
        <v>122</v>
      </c>
      <c r="C5" s="2" t="s">
        <v>123</v>
      </c>
      <c r="D5" s="2" t="s">
        <v>124</v>
      </c>
      <c r="E5" s="2" t="s">
        <v>125</v>
      </c>
      <c r="F5" s="2" t="s">
        <v>126</v>
      </c>
      <c r="G5" s="2" t="n">
        <v>21032</v>
      </c>
      <c r="H5" s="2" t="n">
        <v>21402</v>
      </c>
      <c r="I5" s="2" t="s">
        <v>127</v>
      </c>
    </row>
    <row r="6" customFormat="false" ht="127" hidden="false" customHeight="true" outlineLevel="0" collapsed="false">
      <c r="A6" s="7" t="s">
        <v>53</v>
      </c>
      <c r="B6" s="7" t="s">
        <v>122</v>
      </c>
      <c r="C6" s="7" t="s">
        <v>128</v>
      </c>
      <c r="D6" s="7" t="s">
        <v>129</v>
      </c>
      <c r="E6" s="7" t="s">
        <v>130</v>
      </c>
      <c r="F6" s="7" t="s">
        <v>131</v>
      </c>
      <c r="G6" s="7" t="n">
        <v>24750</v>
      </c>
      <c r="H6" s="7" t="n">
        <v>25124</v>
      </c>
      <c r="I6" s="7" t="s">
        <v>127</v>
      </c>
    </row>
    <row r="7" customFormat="false" ht="127" hidden="false" customHeight="true" outlineLevel="0" collapsed="false">
      <c r="A7" s="2" t="s">
        <v>132</v>
      </c>
      <c r="B7" s="2" t="s">
        <v>122</v>
      </c>
      <c r="C7" s="2" t="s">
        <v>133</v>
      </c>
      <c r="D7" s="2" t="s">
        <v>134</v>
      </c>
      <c r="E7" s="2" t="s">
        <v>135</v>
      </c>
      <c r="F7" s="2" t="s">
        <v>136</v>
      </c>
      <c r="G7" s="2" t="n">
        <v>14218</v>
      </c>
      <c r="H7" s="2" t="n">
        <v>14588</v>
      </c>
      <c r="I7" s="2" t="s">
        <v>137</v>
      </c>
    </row>
    <row r="8" customFormat="false" ht="127" hidden="false" customHeight="true" outlineLevel="0" collapsed="false">
      <c r="A8" s="7" t="s">
        <v>85</v>
      </c>
      <c r="B8" s="7" t="s">
        <v>122</v>
      </c>
      <c r="C8" s="7" t="s">
        <v>138</v>
      </c>
      <c r="D8" s="7" t="s">
        <v>139</v>
      </c>
      <c r="E8" s="7" t="s">
        <v>140</v>
      </c>
      <c r="F8" s="7" t="s">
        <v>136</v>
      </c>
      <c r="G8" s="7" t="n">
        <v>656</v>
      </c>
      <c r="H8" s="7" t="n">
        <v>994</v>
      </c>
      <c r="I8" s="7" t="s">
        <v>141</v>
      </c>
    </row>
    <row r="9" customFormat="false" ht="100" hidden="false" customHeight="true" outlineLevel="0" collapsed="false">
      <c r="A9" s="2" t="s">
        <v>142</v>
      </c>
      <c r="B9" s="2" t="s">
        <v>122</v>
      </c>
      <c r="C9" s="2" t="s">
        <v>143</v>
      </c>
      <c r="D9" s="2" t="s">
        <v>144</v>
      </c>
      <c r="E9" s="2" t="s">
        <v>145</v>
      </c>
      <c r="F9" s="2" t="s">
        <v>146</v>
      </c>
      <c r="G9" s="2" t="n">
        <v>2063</v>
      </c>
      <c r="H9" s="2" t="n">
        <v>2271</v>
      </c>
      <c r="I9" s="2" t="s">
        <v>141</v>
      </c>
    </row>
    <row r="10" customFormat="false" ht="100" hidden="false" customHeight="true" outlineLevel="0" collapsed="false">
      <c r="A10" s="7" t="s">
        <v>147</v>
      </c>
      <c r="B10" s="7" t="s">
        <v>122</v>
      </c>
      <c r="C10" s="7" t="s">
        <v>148</v>
      </c>
      <c r="D10" s="7" t="s">
        <v>144</v>
      </c>
      <c r="E10" s="7" t="s">
        <v>145</v>
      </c>
      <c r="F10" s="7" t="s">
        <v>146</v>
      </c>
      <c r="G10" s="7" t="n">
        <v>956</v>
      </c>
      <c r="H10" s="7" t="n">
        <v>1188</v>
      </c>
      <c r="I10" s="7" t="s">
        <v>141</v>
      </c>
    </row>
    <row r="11" customFormat="false" ht="127" hidden="false" customHeight="true" outlineLevel="0" collapsed="false">
      <c r="A11" s="2" t="s">
        <v>149</v>
      </c>
      <c r="B11" s="2" t="s">
        <v>122</v>
      </c>
      <c r="C11" s="2" t="s">
        <v>150</v>
      </c>
      <c r="D11" s="2" t="s">
        <v>151</v>
      </c>
      <c r="E11" s="2" t="s">
        <v>152</v>
      </c>
      <c r="F11" s="2" t="s">
        <v>136</v>
      </c>
      <c r="G11" s="2" t="n">
        <v>17138</v>
      </c>
      <c r="H11" s="2" t="n">
        <v>17504</v>
      </c>
      <c r="I11" s="2" t="s">
        <v>137</v>
      </c>
    </row>
    <row r="12" customFormat="false" ht="127" hidden="false" customHeight="true" outlineLevel="0" collapsed="false">
      <c r="A12" s="7" t="s">
        <v>153</v>
      </c>
      <c r="B12" s="7" t="s">
        <v>122</v>
      </c>
      <c r="C12" s="7" t="s">
        <v>154</v>
      </c>
      <c r="D12" s="7" t="s">
        <v>155</v>
      </c>
      <c r="E12" s="7" t="s">
        <v>156</v>
      </c>
      <c r="F12" s="7" t="s">
        <v>146</v>
      </c>
      <c r="G12" s="7" t="n">
        <v>548</v>
      </c>
      <c r="H12" s="7" t="n">
        <v>910</v>
      </c>
      <c r="I12" s="7" t="s">
        <v>137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45" zoomScaleNormal="4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100"/>
    <col collapsed="false" customWidth="true" hidden="false" outlineLevel="0" max="5" min="4" style="0" width="11.99"/>
  </cols>
  <sheetData>
    <row r="1" customFormat="false" ht="45" hidden="false" customHeight="true" outlineLevel="0" collapsed="false">
      <c r="A1" s="1" t="s">
        <v>157</v>
      </c>
      <c r="B1" s="2"/>
      <c r="C1" s="2"/>
      <c r="D1" s="2"/>
      <c r="E1" s="2"/>
    </row>
    <row r="2" customFormat="false" ht="65" hidden="false" customHeight="true" outlineLevel="0" collapsed="false">
      <c r="A2" s="3" t="s">
        <v>158</v>
      </c>
      <c r="B2" s="2"/>
      <c r="C2" s="2"/>
      <c r="D2" s="2"/>
      <c r="E2" s="2"/>
    </row>
    <row r="3" customFormat="false" ht="15" hidden="false" customHeight="false" outlineLevel="0" collapsed="false">
      <c r="A3" s="2"/>
      <c r="B3" s="2"/>
      <c r="C3" s="2"/>
      <c r="D3" s="2"/>
      <c r="E3" s="2"/>
    </row>
    <row r="4" customFormat="false" ht="32" hidden="false" customHeight="true" outlineLevel="0" collapsed="false">
      <c r="A4" s="4" t="s">
        <v>2</v>
      </c>
      <c r="B4" s="4" t="s">
        <v>159</v>
      </c>
      <c r="C4" s="4" t="s">
        <v>160</v>
      </c>
      <c r="D4" s="4" t="s">
        <v>46</v>
      </c>
      <c r="E4" s="4" t="s">
        <v>47</v>
      </c>
    </row>
    <row r="5" customFormat="false" ht="93" hidden="false" customHeight="true" outlineLevel="0" collapsed="false">
      <c r="A5" s="2" t="s">
        <v>10</v>
      </c>
      <c r="B5" s="2" t="n">
        <v>1</v>
      </c>
      <c r="C5" s="2" t="s">
        <v>161</v>
      </c>
      <c r="D5" s="2" t="n">
        <v>0</v>
      </c>
      <c r="E5" s="2" t="n">
        <v>201</v>
      </c>
    </row>
    <row r="6" customFormat="false" ht="93" hidden="false" customHeight="true" outlineLevel="0" collapsed="false">
      <c r="A6" s="7" t="s">
        <v>10</v>
      </c>
      <c r="B6" s="7" t="n">
        <v>2</v>
      </c>
      <c r="C6" s="7" t="s">
        <v>162</v>
      </c>
      <c r="D6" s="7" t="n">
        <v>201</v>
      </c>
      <c r="E6" s="7" t="n">
        <v>431</v>
      </c>
    </row>
    <row r="7" customFormat="false" ht="127" hidden="false" customHeight="true" outlineLevel="0" collapsed="false">
      <c r="A7" s="2" t="s">
        <v>17</v>
      </c>
      <c r="B7" s="2" t="n">
        <v>1</v>
      </c>
      <c r="C7" s="2" t="s">
        <v>163</v>
      </c>
      <c r="D7" s="2" t="n">
        <v>0</v>
      </c>
      <c r="E7" s="2" t="n">
        <v>245</v>
      </c>
    </row>
    <row r="8" customFormat="false" ht="76" hidden="false" customHeight="true" outlineLevel="0" collapsed="false">
      <c r="A8" s="7" t="s">
        <v>17</v>
      </c>
      <c r="B8" s="7" t="n">
        <v>2</v>
      </c>
      <c r="C8" s="7" t="s">
        <v>164</v>
      </c>
      <c r="D8" s="7" t="n">
        <v>245</v>
      </c>
      <c r="E8" s="7" t="n">
        <v>460</v>
      </c>
    </row>
    <row r="9" customFormat="false" ht="76" hidden="false" customHeight="true" outlineLevel="0" collapsed="false">
      <c r="A9" s="2" t="s">
        <v>17</v>
      </c>
      <c r="B9" s="2" t="n">
        <v>3</v>
      </c>
      <c r="C9" s="2" t="s">
        <v>165</v>
      </c>
      <c r="D9" s="2" t="n">
        <v>460</v>
      </c>
      <c r="E9" s="2" t="n">
        <v>661</v>
      </c>
    </row>
    <row r="10" customFormat="false" ht="76" hidden="false" customHeight="true" outlineLevel="0" collapsed="false">
      <c r="A10" s="7" t="s">
        <v>17</v>
      </c>
      <c r="B10" s="7" t="n">
        <v>4</v>
      </c>
      <c r="C10" s="7" t="s">
        <v>166</v>
      </c>
      <c r="D10" s="7" t="n">
        <v>661</v>
      </c>
      <c r="E10" s="7" t="n">
        <v>861</v>
      </c>
    </row>
    <row r="11" customFormat="false" ht="93" hidden="false" customHeight="true" outlineLevel="0" collapsed="false">
      <c r="A11" s="2" t="s">
        <v>17</v>
      </c>
      <c r="B11" s="2" t="n">
        <v>5</v>
      </c>
      <c r="C11" s="2" t="s">
        <v>167</v>
      </c>
      <c r="D11" s="2" t="n">
        <v>861</v>
      </c>
      <c r="E11" s="2" t="n">
        <v>1114</v>
      </c>
    </row>
    <row r="12" customFormat="false" ht="76" hidden="false" customHeight="true" outlineLevel="0" collapsed="false">
      <c r="A12" s="7" t="s">
        <v>22</v>
      </c>
      <c r="B12" s="7" t="n">
        <v>1</v>
      </c>
      <c r="C12" s="7" t="s">
        <v>168</v>
      </c>
      <c r="D12" s="7" t="n">
        <v>0</v>
      </c>
      <c r="E12" s="7" t="n">
        <v>207</v>
      </c>
    </row>
    <row r="13" customFormat="false" ht="55" hidden="false" customHeight="true" outlineLevel="0" collapsed="false">
      <c r="A13" s="2" t="s">
        <v>22</v>
      </c>
      <c r="B13" s="2" t="n">
        <v>2</v>
      </c>
      <c r="C13" s="2" t="s">
        <v>169</v>
      </c>
      <c r="D13" s="2" t="n">
        <v>207</v>
      </c>
      <c r="E13" s="2" t="n">
        <v>279</v>
      </c>
    </row>
    <row r="14" customFormat="false" ht="93" hidden="false" customHeight="true" outlineLevel="0" collapsed="false">
      <c r="A14" s="7" t="s">
        <v>27</v>
      </c>
      <c r="B14" s="7" t="n">
        <v>1</v>
      </c>
      <c r="C14" s="7" t="s">
        <v>170</v>
      </c>
      <c r="D14" s="7" t="n">
        <v>0</v>
      </c>
      <c r="E14" s="7" t="n">
        <v>257</v>
      </c>
    </row>
    <row r="15" customFormat="false" ht="59" hidden="false" customHeight="true" outlineLevel="0" collapsed="false">
      <c r="A15" s="2" t="s">
        <v>27</v>
      </c>
      <c r="B15" s="2" t="n">
        <v>2</v>
      </c>
      <c r="C15" s="2" t="s">
        <v>171</v>
      </c>
      <c r="D15" s="2" t="n">
        <v>257</v>
      </c>
      <c r="E15" s="2" t="n">
        <v>358</v>
      </c>
    </row>
    <row r="16" customFormat="false" ht="93" hidden="false" customHeight="true" outlineLevel="0" collapsed="false">
      <c r="A16" s="7" t="s">
        <v>31</v>
      </c>
      <c r="B16" s="7" t="n">
        <v>1</v>
      </c>
      <c r="C16" s="7" t="s">
        <v>172</v>
      </c>
      <c r="D16" s="7" t="n">
        <v>0</v>
      </c>
      <c r="E16" s="7" t="n">
        <v>260</v>
      </c>
    </row>
    <row r="17" customFormat="false" ht="76" hidden="false" customHeight="true" outlineLevel="0" collapsed="false">
      <c r="A17" s="2" t="s">
        <v>31</v>
      </c>
      <c r="B17" s="2" t="n">
        <v>2</v>
      </c>
      <c r="C17" s="2" t="s">
        <v>173</v>
      </c>
      <c r="D17" s="2" t="n">
        <v>260</v>
      </c>
      <c r="E17" s="2" t="n">
        <v>422</v>
      </c>
    </row>
    <row r="18" customFormat="false" ht="144" hidden="false" customHeight="true" outlineLevel="0" collapsed="false">
      <c r="A18" s="7" t="s">
        <v>35</v>
      </c>
      <c r="B18" s="7" t="n">
        <v>1</v>
      </c>
      <c r="C18" s="7" t="s">
        <v>174</v>
      </c>
      <c r="D18" s="7" t="n">
        <v>0</v>
      </c>
      <c r="E18" s="7" t="n">
        <v>260</v>
      </c>
    </row>
    <row r="19" customFormat="false" ht="144" hidden="false" customHeight="true" outlineLevel="0" collapsed="false">
      <c r="A19" s="2" t="s">
        <v>35</v>
      </c>
      <c r="B19" s="2" t="n">
        <v>2</v>
      </c>
      <c r="C19" s="2" t="s">
        <v>175</v>
      </c>
      <c r="D19" s="2" t="n">
        <v>260</v>
      </c>
      <c r="E19" s="2" t="n">
        <v>505</v>
      </c>
    </row>
    <row r="20" customFormat="false" ht="161" hidden="false" customHeight="true" outlineLevel="0" collapsed="false">
      <c r="A20" s="7" t="s">
        <v>35</v>
      </c>
      <c r="B20" s="7" t="n">
        <v>3</v>
      </c>
      <c r="C20" s="7" t="s">
        <v>176</v>
      </c>
      <c r="D20" s="7" t="n">
        <v>505</v>
      </c>
      <c r="E20" s="7" t="n">
        <v>750</v>
      </c>
    </row>
    <row r="21" customFormat="false" ht="59" hidden="false" customHeight="true" outlineLevel="0" collapsed="false">
      <c r="A21" s="2" t="s">
        <v>35</v>
      </c>
      <c r="B21" s="2" t="n">
        <v>4</v>
      </c>
      <c r="C21" s="2" t="s">
        <v>177</v>
      </c>
      <c r="D21" s="2" t="n">
        <v>750</v>
      </c>
      <c r="E21" s="2" t="n">
        <v>829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5"/>
  <sheetViews>
    <sheetView showFormulas="false" showGridLines="false" showRowColHeaders="true" showZeros="true" rightToLeft="false" tabSelected="false" showOutlineSymbols="true" defaultGridColor="true" view="normal" topLeftCell="A1" colorId="64" zoomScale="45" zoomScaleNormal="4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0" width="32"/>
    <col collapsed="false" customWidth="true" hidden="false" outlineLevel="0" max="2" min="2" style="0" width="104.99"/>
  </cols>
  <sheetData>
    <row r="1" customFormat="false" ht="45" hidden="false" customHeight="true" outlineLevel="0" collapsed="false">
      <c r="A1" s="1" t="s">
        <v>178</v>
      </c>
      <c r="B1" s="2"/>
    </row>
    <row r="2" customFormat="false" ht="65" hidden="false" customHeight="true" outlineLevel="0" collapsed="false">
      <c r="A2" s="3" t="s">
        <v>179</v>
      </c>
      <c r="B2" s="2"/>
    </row>
    <row r="3" customFormat="false" ht="15" hidden="false" customHeight="false" outlineLevel="0" collapsed="false">
      <c r="A3" s="2"/>
      <c r="B3" s="2"/>
    </row>
    <row r="4" customFormat="false" ht="32" hidden="false" customHeight="true" outlineLevel="0" collapsed="false">
      <c r="A4" s="4" t="s">
        <v>180</v>
      </c>
      <c r="B4" s="4" t="s">
        <v>181</v>
      </c>
    </row>
    <row r="5" customFormat="false" ht="55" hidden="false" customHeight="true" outlineLevel="0" collapsed="false">
      <c r="A5" s="2" t="s">
        <v>182</v>
      </c>
      <c r="B5" s="2" t="s">
        <v>183</v>
      </c>
    </row>
    <row r="6" customFormat="false" ht="55" hidden="false" customHeight="true" outlineLevel="0" collapsed="false">
      <c r="A6" s="7" t="s">
        <v>83</v>
      </c>
      <c r="B6" s="7" t="s">
        <v>184</v>
      </c>
    </row>
    <row r="7" customFormat="false" ht="55" hidden="false" customHeight="true" outlineLevel="0" collapsed="false">
      <c r="A7" s="2" t="s">
        <v>51</v>
      </c>
      <c r="B7" s="2" t="s">
        <v>185</v>
      </c>
    </row>
    <row r="8" customFormat="false" ht="55" hidden="false" customHeight="true" outlineLevel="0" collapsed="false">
      <c r="A8" s="7" t="s">
        <v>186</v>
      </c>
      <c r="B8" s="7" t="s">
        <v>187</v>
      </c>
    </row>
    <row r="9" customFormat="false" ht="55" hidden="false" customHeight="true" outlineLevel="0" collapsed="false">
      <c r="A9" s="2" t="s">
        <v>188</v>
      </c>
      <c r="B9" s="2" t="s">
        <v>189</v>
      </c>
    </row>
    <row r="10" customFormat="false" ht="55" hidden="false" customHeight="true" outlineLevel="0" collapsed="false">
      <c r="A10" s="7" t="s">
        <v>190</v>
      </c>
      <c r="B10" s="7" t="s">
        <v>191</v>
      </c>
    </row>
    <row r="11" customFormat="false" ht="55" hidden="false" customHeight="true" outlineLevel="0" collapsed="false">
      <c r="A11" s="2" t="s">
        <v>192</v>
      </c>
      <c r="B11" s="2" t="s">
        <v>193</v>
      </c>
    </row>
    <row r="12" customFormat="false" ht="55" hidden="false" customHeight="true" outlineLevel="0" collapsed="false">
      <c r="A12" s="7" t="s">
        <v>194</v>
      </c>
      <c r="B12" s="7" t="s">
        <v>195</v>
      </c>
    </row>
    <row r="13" customFormat="false" ht="55" hidden="false" customHeight="true" outlineLevel="0" collapsed="false">
      <c r="A13" s="2" t="s">
        <v>196</v>
      </c>
      <c r="B13" s="2" t="s">
        <v>197</v>
      </c>
    </row>
    <row r="14" customFormat="false" ht="55" hidden="false" customHeight="true" outlineLevel="0" collapsed="false">
      <c r="A14" s="7" t="s">
        <v>198</v>
      </c>
      <c r="B14" s="7" t="s">
        <v>199</v>
      </c>
    </row>
    <row r="15" customFormat="false" ht="55" hidden="false" customHeight="true" outlineLevel="0" collapsed="false">
      <c r="A15" s="2" t="s">
        <v>200</v>
      </c>
      <c r="B15" s="2" t="s">
        <v>201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45" zoomScaleNormal="4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0" width="32"/>
    <col collapsed="false" customWidth="true" hidden="false" outlineLevel="0" max="2" min="2" style="0" width="54.98"/>
    <col collapsed="false" customWidth="true" hidden="false" outlineLevel="0" max="3" min="3" style="0" width="75"/>
    <col collapsed="false" customWidth="true" hidden="false" outlineLevel="0" max="4" min="4" style="0" width="79.98"/>
  </cols>
  <sheetData>
    <row r="1" customFormat="false" ht="45" hidden="false" customHeight="true" outlineLevel="0" collapsed="false">
      <c r="A1" s="1" t="s">
        <v>202</v>
      </c>
      <c r="B1" s="2"/>
      <c r="C1" s="2"/>
      <c r="D1" s="2"/>
    </row>
    <row r="2" customFormat="false" ht="65" hidden="false" customHeight="true" outlineLevel="0" collapsed="false">
      <c r="A2" s="3" t="s">
        <v>203</v>
      </c>
      <c r="B2" s="2"/>
      <c r="C2" s="2"/>
      <c r="D2" s="2"/>
    </row>
    <row r="3" customFormat="false" ht="15" hidden="false" customHeight="false" outlineLevel="0" collapsed="false">
      <c r="A3" s="2"/>
      <c r="B3" s="2"/>
      <c r="C3" s="2"/>
      <c r="D3" s="2"/>
    </row>
    <row r="4" customFormat="false" ht="32" hidden="false" customHeight="true" outlineLevel="0" collapsed="false">
      <c r="A4" s="4" t="s">
        <v>2</v>
      </c>
      <c r="B4" s="4" t="s">
        <v>4</v>
      </c>
      <c r="C4" s="4" t="s">
        <v>204</v>
      </c>
      <c r="D4" s="4" t="s">
        <v>205</v>
      </c>
    </row>
    <row r="5" customFormat="false" ht="85" hidden="false" customHeight="true" outlineLevel="0" collapsed="false">
      <c r="A5" s="2" t="s">
        <v>10</v>
      </c>
      <c r="B5" s="2" t="s">
        <v>12</v>
      </c>
      <c r="C5" s="2" t="s">
        <v>206</v>
      </c>
      <c r="D5" s="2" t="s">
        <v>207</v>
      </c>
    </row>
    <row r="6" customFormat="false" ht="85" hidden="false" customHeight="true" outlineLevel="0" collapsed="false">
      <c r="A6" s="7" t="s">
        <v>17</v>
      </c>
      <c r="B6" s="7" t="s">
        <v>18</v>
      </c>
      <c r="C6" s="7" t="s">
        <v>208</v>
      </c>
      <c r="D6" s="7" t="s">
        <v>209</v>
      </c>
    </row>
    <row r="7" customFormat="false" ht="85" hidden="false" customHeight="true" outlineLevel="0" collapsed="false">
      <c r="A7" s="2" t="s">
        <v>22</v>
      </c>
      <c r="B7" s="2" t="s">
        <v>24</v>
      </c>
      <c r="C7" s="2" t="s">
        <v>210</v>
      </c>
      <c r="D7" s="2" t="s">
        <v>211</v>
      </c>
    </row>
    <row r="8" customFormat="false" ht="85" hidden="false" customHeight="true" outlineLevel="0" collapsed="false">
      <c r="A8" s="7" t="s">
        <v>27</v>
      </c>
      <c r="B8" s="7" t="s">
        <v>29</v>
      </c>
      <c r="C8" s="7" t="s">
        <v>212</v>
      </c>
      <c r="D8" s="7" t="s">
        <v>213</v>
      </c>
    </row>
    <row r="9" customFormat="false" ht="85" hidden="false" customHeight="true" outlineLevel="0" collapsed="false">
      <c r="A9" s="2" t="s">
        <v>31</v>
      </c>
      <c r="B9" s="2" t="s">
        <v>33</v>
      </c>
      <c r="C9" s="2" t="s">
        <v>214</v>
      </c>
      <c r="D9" s="2" t="s">
        <v>215</v>
      </c>
    </row>
    <row r="10" customFormat="false" ht="85" hidden="false" customHeight="true" outlineLevel="0" collapsed="false">
      <c r="A10" s="7" t="s">
        <v>35</v>
      </c>
      <c r="B10" s="7" t="s">
        <v>36</v>
      </c>
      <c r="C10" s="7" t="s">
        <v>216</v>
      </c>
      <c r="D10" s="7" t="s">
        <v>217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11.550781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2026-09-15T18:37:20Z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